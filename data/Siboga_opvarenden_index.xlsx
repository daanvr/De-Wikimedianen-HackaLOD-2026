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dex bemanningsleden (NL)" sheetId="1" state="visible" r:id="rId3"/>
    <sheet name="Bronnen (NL)" sheetId="2" state="visible" r:id="rId4"/>
    <sheet name="Legenda &amp; methode (NL)" sheetId="3" state="visible" r:id="rId5"/>
    <sheet name="Crew index (EN)" sheetId="4" state="visible" r:id="rId6"/>
    <sheet name="Sources (EN)" sheetId="5" state="visible" r:id="rId7"/>
    <sheet name="Legend &amp; method (EN)" sheetId="6" state="visible" r:id="rId8"/>
  </sheets>
  <definedNames>
    <definedName function="false" hidden="true" localSheetId="3" name="_xlnm._FilterDatabase" vbProcedure="false">'Crew index (EN)'!$A$5:$I$33</definedName>
    <definedName function="false" hidden="true" localSheetId="0" name="_xlnm._FilterDatabase" vbProcedure="false">'Index bemanningsleden (NL)'!$A$5:$I$33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<sst xmlns="http://schemas.openxmlformats.org/spreadsheetml/2006/main" count="490" uniqueCount="308">
  <si>
    <t xml:space="preserve">SIBOGA-EXPEDITIE 1899-1900 - index van expeditiedeelnemers en bemanning</t>
  </si>
  <si>
    <t xml:space="preserve">Paginanummers verwijzen naar de GEDRUKTE paginering van elke publicatie. Leeg = niet in die publicatie genoemd.</t>
  </si>
  <si>
    <t xml:space="preserve">Samengesteld uit geautomatiseerde OCR-analyse van de drie publicaties; OCR-kwaliteit is matig, dus controleer kritieke vermeldingen aan het origineel.</t>
  </si>
  <si>
    <t xml:space="preserve">Categorie</t>
  </si>
  <si>
    <t xml:space="preserve">Naam</t>
  </si>
  <si>
    <t xml:space="preserve">Rol / functie</t>
  </si>
  <si>
    <t xml:space="preserve">Herkomst</t>
  </si>
  <si>
    <t xml:space="preserve">Anna Weber-van Bosse 1902 (gedrukte p.)</t>
  </si>
  <si>
    <t xml:space="preserve">Max Weber, Introduction 1902 (gedrukte p.)</t>
  </si>
  <si>
    <t xml:space="preserve">Max Weber, De Gids 1900 (gedrukte p.)</t>
  </si>
  <si>
    <t xml:space="preserve">Aantal paginas met vermelding</t>
  </si>
  <si>
    <t xml:space="preserve">Opmerking</t>
  </si>
  <si>
    <t xml:space="preserve">Niet-Westers, bij naam</t>
  </si>
  <si>
    <t xml:space="preserve">Atoer</t>
  </si>
  <si>
    <t xml:space="preserve">Mandoer (hoofd inlandse bemanning)</t>
  </si>
  <si>
    <t xml:space="preserve">Java</t>
  </si>
  <si>
    <t xml:space="preserve">3</t>
  </si>
  <si>
    <t xml:space="preserve">Beschreven als 'een pootige, handige, lange kerel'; speelde 's avonds komedie</t>
  </si>
  <si>
    <t xml:space="preserve">Bandong</t>
  </si>
  <si>
    <t xml:space="preserve">Bediende/jongen van het echtpaar Weber</t>
  </si>
  <si>
    <t xml:space="preserve">Java (Buitenzorg)</t>
  </si>
  <si>
    <t xml:space="preserve">8, 18, 58, 70, 79, 88, 101, 146, 202, 203, 204, 207, 208, 209, 251, 265, 314, 316</t>
  </si>
  <si>
    <t xml:space="preserve">Echtgenoot van de baboe; ging mee aan land; verzamelde o.a. een bijennest</t>
  </si>
  <si>
    <t xml:space="preserve">Gepeng</t>
  </si>
  <si>
    <t xml:space="preserve">Jongen, assistent bij het drogen van wieren</t>
  </si>
  <si>
    <t xml:space="preserve">8</t>
  </si>
  <si>
    <t xml:space="preserve">Verliet het schip bij Djangkar op 10 maart 1899</t>
  </si>
  <si>
    <t xml:space="preserve">Radi</t>
  </si>
  <si>
    <t xml:space="preserve">Matroos</t>
  </si>
  <si>
    <t xml:space="preserve">194</t>
  </si>
  <si>
    <t xml:space="preserve">Verongelukte aan boord bij het losmaken van de wimpel; brak vijf ribben, herstelde</t>
  </si>
  <si>
    <t xml:space="preserve">Niet-Westers, functie</t>
  </si>
  <si>
    <t xml:space="preserve">de baboe</t>
  </si>
  <si>
    <t xml:space="preserve">Bediende/kamermeisje van mevrouw Weber</t>
  </si>
  <si>
    <t xml:space="preserve">8, 16, 28, 43, 77, 84, 88, 101, 110, 146, 166, 202, 203, 204, 207, 208, 230, 297, 314</t>
  </si>
  <si>
    <t xml:space="preserve">NAAM NIET VERMELD. Echtgenote van Bandong; had een zoon te Buitenzorg</t>
  </si>
  <si>
    <t xml:space="preserve">de mandoer</t>
  </si>
  <si>
    <t xml:space="preserve">Hoofd van de inlandse bemanning</t>
  </si>
  <si>
    <t xml:space="preserve">3, 194, 282, 314</t>
  </si>
  <si>
    <t xml:space="preserve">Identiek aan Atoer; wordt vaker met functie dan met naam aangeduid</t>
  </si>
  <si>
    <t xml:space="preserve">de mestri / timmerman</t>
  </si>
  <si>
    <t xml:space="preserve">Scheepstimmerman</t>
  </si>
  <si>
    <t xml:space="preserve">onbekend</t>
  </si>
  <si>
    <t xml:space="preserve">84, 334</t>
  </si>
  <si>
    <t xml:space="preserve">NAAM NIET VERMELD</t>
  </si>
  <si>
    <t xml:space="preserve">Niet-Westers, collectief</t>
  </si>
  <si>
    <t xml:space="preserve">Bemanning (collectief)</t>
  </si>
  <si>
    <t xml:space="preserve">Volledige bemanning</t>
  </si>
  <si>
    <t xml:space="preserve">-</t>
  </si>
  <si>
    <t xml:space="preserve">519</t>
  </si>
  <si>
    <t xml:space="preserve">De Gids p.519: 52 koppen, 'op vier na uitsluitend uit inlanders bestaande'</t>
  </si>
  <si>
    <t xml:space="preserve">Javaanse matrozen / stokers</t>
  </si>
  <si>
    <t xml:space="preserve">Matrozen, stokers, onderofficieren</t>
  </si>
  <si>
    <t xml:space="preserve">Java (grotendeels)</t>
  </si>
  <si>
    <t xml:space="preserve">3, 4, 8, 20, 21, 25, 27, 28, 29, 47, 70, 94, 111, 130, 140, 166, 182, 186, 219, 276, 282, 283, 311</t>
  </si>
  <si>
    <t xml:space="preserve">48 personen; nooit individueel benoemd behalve de hierboven genoemden</t>
  </si>
  <si>
    <t xml:space="preserve">Europese staf</t>
  </si>
  <si>
    <t xml:space="preserve">Anna Weber-van Bosse</t>
  </si>
  <si>
    <t xml:space="preserve">Botanicus / algoloog</t>
  </si>
  <si>
    <t xml:space="preserve">Nederland</t>
  </si>
  <si>
    <t xml:space="preserve">voorwerk</t>
  </si>
  <si>
    <t xml:space="preserve">24</t>
  </si>
  <si>
    <t xml:space="preserve">Auteur van 'Een jaar aan boord H.M. Siboga'; enige bron die inheemse bemanning benoemt</t>
  </si>
  <si>
    <t xml:space="preserve">H.F. Nierstrasz</t>
  </si>
  <si>
    <t xml:space="preserve">Zooloog, assistent</t>
  </si>
  <si>
    <t xml:space="preserve">2, 11, 29, 33, 66, 70, 76, 79, 94, 96, 109, 123, 131, 146, 168, 199, 266, 272, 276</t>
  </si>
  <si>
    <t xml:space="preserve">8, 12, 37, 120</t>
  </si>
  <si>
    <t xml:space="preserve">Verantwoordelijk voor fotografie aan boord</t>
  </si>
  <si>
    <t xml:space="preserve">J. Versluys</t>
  </si>
  <si>
    <t xml:space="preserve">2, 5, 10, 13, 14, 17, 22, 29, 43, 58, 62, 66, 69, 73, 88, 94, 109, 112, 119, 120, 124, 131, 132, 143, 146, 157, 166, 173, 180, 186, 202, 210, 213, 220, 230, 238, 275, 277, 278, 289, 295, 296, 307, 310, 316, 329, 330, 331</t>
  </si>
  <si>
    <t xml:space="preserve">8, 10, 48, 53, 145, 159</t>
  </si>
  <si>
    <t xml:space="preserve">J.H. Huysmans</t>
  </si>
  <si>
    <t xml:space="preserve">Tekenaar</t>
  </si>
  <si>
    <t xml:space="preserve">2, 17, 30, 69, 75, 76, 77, 88, 99, 109, 119, 120, 150, 152, 173, 181, 202, 204, 210, 213, 215, 246, 306, 313</t>
  </si>
  <si>
    <t xml:space="preserve">In De Gids alleen anoniem als 'een bekwaam teekenaar' (p.519) en 'de teekenaar' (p.536)</t>
  </si>
  <si>
    <t xml:space="preserve">Max Weber</t>
  </si>
  <si>
    <t xml:space="preserve">Expeditieleider, zooloog</t>
  </si>
  <si>
    <t xml:space="preserve">voorwerk, 2, 7, 12, 14, 15, 16, 17, 27, 29, 30, 36, 37, 38, 42, 43, 44, 45, 48, 51, 54, 55, 56, 57, 58, 59, 60, 61, 62, 63, 66, 67, 68, 69, 70, 73, 74, 76, 80, 87, 89, 90, 91, 93, 94, 96, 101, 102, 105, 106, 107, 108, 109, 111, 112, 114, 119, 120, 122, 123, 124, 127, 128, 131, 132, 134, 136, 137, 139, 140, 141, 146, 148, 150, 152, 153, 154, 156, 157, 159, 164, 168, 169, 170, 174, 180, 186, 190, 197, 198, 199, 200, 202, 207, 209, 210, 211, 217, 218, 219, 230, 231, 238, 239, 244, 247, 249, 250, 252, 254, 260, 261, 269, 270, 273, 274, 281, 282, 285, 286, 289, 290, 294, 295, 296, 298, 299, 301, 302, 303, 307, 308, 310, 315, 316, 321, 322, 323, 324, 328, 329, 330, 331</t>
  </si>
  <si>
    <t xml:space="preserve">1, 24, 38, 39, 45, 111, 127, 128, 129, 139</t>
  </si>
  <si>
    <t xml:space="preserve">540</t>
  </si>
  <si>
    <t xml:space="preserve">Auteur van 'Introduction et description' en van het Gids-artikel</t>
  </si>
  <si>
    <t xml:space="preserve">Europees nautisch</t>
  </si>
  <si>
    <t xml:space="preserve">C.E. Hoorens van Heyningen</t>
  </si>
  <si>
    <t xml:space="preserve">Tweede officier / navigateur</t>
  </si>
  <si>
    <t xml:space="preserve">2, 8, 33, 43, 59, 119, 120, 141, 146, 157, 158, 164, 169, 280, 311</t>
  </si>
  <si>
    <t xml:space="preserve">8, 152, 155</t>
  </si>
  <si>
    <t xml:space="preserve">Conrad / Conrat</t>
  </si>
  <si>
    <t xml:space="preserve">Machinist</t>
  </si>
  <si>
    <t xml:space="preserve">3, 217</t>
  </si>
  <si>
    <t xml:space="preserve">Assistent van Klazinga; bleef te Soerabaja achter (Anna p.217)</t>
  </si>
  <si>
    <t xml:space="preserve">D. Klazinga</t>
  </si>
  <si>
    <t xml:space="preserve">Chef machinekamer</t>
  </si>
  <si>
    <t xml:space="preserve">2, 53, 79, 162, 217, 231, 239, 250, 279</t>
  </si>
  <si>
    <t xml:space="preserve">152</t>
  </si>
  <si>
    <t xml:space="preserve">G.F. Tydeman</t>
  </si>
  <si>
    <t xml:space="preserve">Commandant H.M. Siboga; hydrograaf</t>
  </si>
  <si>
    <t xml:space="preserve">2, 3, 11, 21, 26, 27, 33, 34, 38, 43, 54, 58, 65, 76, 79, 80, 89, 99, 104, 106, 110, 111, 118, 133, 134, 137, 146, 154, 156, 157, 158, 159, 162, 164, 170, 180, 188, 200, 201, 219, 226, 229, 245, 252, 281, 282, 286, 299, 301, 303, 308, 316, 329, 330, 331</t>
  </si>
  <si>
    <t xml:space="preserve">10, 11, 13, 19, 36, 69, 96, 100, 134, 137, 140, 151, 158, 159</t>
  </si>
  <si>
    <t xml:space="preserve">532</t>
  </si>
  <si>
    <t xml:space="preserve">Publiceerde het hydrografische deel van het Siboga-werk</t>
  </si>
  <si>
    <t xml:space="preserve">Gorter</t>
  </si>
  <si>
    <t xml:space="preserve">Korporaal-stoker</t>
  </si>
  <si>
    <t xml:space="preserve">3, 48, 323</t>
  </si>
  <si>
    <t xml:space="preserve">H.J. Boldingh</t>
  </si>
  <si>
    <t xml:space="preserve">Eerste officier / navigateur</t>
  </si>
  <si>
    <t xml:space="preserve">2, 13, 14, 19, 22, 43, 48, 98, 113, 166, 223, 275, 276, 277, 280, 282, 301, 307, 310, 311, 314, 316, 328, 329</t>
  </si>
  <si>
    <t xml:space="preserve">Loyer</t>
  </si>
  <si>
    <t xml:space="preserve">3, 4, 11, 28, 48, 63, 94, 96, 97, 99, 112, 113, 130, 142, 168, 220, 251, 282, 323</t>
  </si>
  <si>
    <t xml:space="preserve">Bekend om 'Poeter Loye' en het felicitatiekaartje der stokers</t>
  </si>
  <si>
    <t xml:space="preserve">Nieuwenhuyzen</t>
  </si>
  <si>
    <t xml:space="preserve">Korporaal-hofmeester</t>
  </si>
  <si>
    <t xml:space="preserve">Noest</t>
  </si>
  <si>
    <t xml:space="preserve">3, 75</t>
  </si>
  <si>
    <t xml:space="preserve">Assistent van Klazinga; muzikaal</t>
  </si>
  <si>
    <t xml:space="preserve">Razzio</t>
  </si>
  <si>
    <t xml:space="preserve">Onderofficier</t>
  </si>
  <si>
    <t xml:space="preserve">166</t>
  </si>
  <si>
    <t xml:space="preserve">'De dikke onderofficier'; incident met de baboe (Anna p.166)</t>
  </si>
  <si>
    <t xml:space="preserve">Van Loenen</t>
  </si>
  <si>
    <t xml:space="preserve">Officier / machinist</t>
  </si>
  <si>
    <t xml:space="preserve">76, 158, 160, 217, 283</t>
  </si>
  <si>
    <t xml:space="preserve">Verhey</t>
  </si>
  <si>
    <t xml:space="preserve">3, 95</t>
  </si>
  <si>
    <t xml:space="preserve">de doctor / geneesheer</t>
  </si>
  <si>
    <t xml:space="preserve">Scheepsarts</t>
  </si>
  <si>
    <t xml:space="preserve">2, 64, 94, 117, 188, 196, 281, 294, 295, 311, 329</t>
  </si>
  <si>
    <t xml:space="preserve">NAAM NIET VERMELD in enige van de drie publicaties</t>
  </si>
  <si>
    <t xml:space="preserve">de hofmeester</t>
  </si>
  <si>
    <t xml:space="preserve">Hofmeester</t>
  </si>
  <si>
    <t xml:space="preserve">4, 19, 20, 44, 93, 110, 148, 173, 282, 314, 334</t>
  </si>
  <si>
    <t xml:space="preserve">Mogelijk identiek aan Nieuwenhuyzen (korporaal-hofmeester)</t>
  </si>
  <si>
    <t xml:space="preserve">TOTAAL</t>
  </si>
  <si>
    <t xml:space="preserve">De drie geanalyseerde publicaties</t>
  </si>
  <si>
    <t xml:space="preserve">#</t>
  </si>
  <si>
    <t xml:space="preserve">Auteur</t>
  </si>
  <si>
    <t xml:space="preserve">Titel</t>
  </si>
  <si>
    <t xml:space="preserve">Jaar</t>
  </si>
  <si>
    <t xml:space="preserve">Taal</t>
  </si>
  <si>
    <t xml:space="preserve">Type</t>
  </si>
  <si>
    <t xml:space="preserve">Gedrukte paginering</t>
  </si>
  <si>
    <t xml:space="preserve">PDF-offset</t>
  </si>
  <si>
    <t xml:space="preserve">Niet-Westerse bemanningsleden bij naam</t>
  </si>
  <si>
    <t xml:space="preserve">Totaal gemarkeerde paginavermeldingen</t>
  </si>
  <si>
    <t xml:space="preserve">Een jaar aan boord H.M. Siboga (2e druk)</t>
  </si>
  <si>
    <t xml:space="preserve">Nederlands</t>
  </si>
  <si>
    <t xml:space="preserve">Populair reisverslag</t>
  </si>
  <si>
    <t xml:space="preserve">p. 1-335</t>
  </si>
  <si>
    <t xml:space="preserve">PDF-pagina = gedrukte pagina + 16</t>
  </si>
  <si>
    <t xml:space="preserve">Introduction et description de l'expedition (Siboga-Expeditie, monografie I)</t>
  </si>
  <si>
    <t xml:space="preserve">Frans</t>
  </si>
  <si>
    <t xml:space="preserve">Wetenschappelijk verslag</t>
  </si>
  <si>
    <t xml:space="preserve">p. 1-159</t>
  </si>
  <si>
    <t xml:space="preserve">PDF-pagina = gedrukte pagina + 2</t>
  </si>
  <si>
    <t xml:space="preserve">De Siboga-expeditie, haar doel en enkele harer resultaten (De Gids, jrg. 64)</t>
  </si>
  <si>
    <t xml:space="preserve">Populair-wetenschappelijk artikel</t>
  </si>
  <si>
    <t xml:space="preserve">p. 519-540</t>
  </si>
  <si>
    <t xml:space="preserve">DBNL-schermafdruk; gedrukte pagina = PDF-pagina + 518</t>
  </si>
  <si>
    <t xml:space="preserve">Kernbevinding</t>
  </si>
  <si>
    <t xml:space="preserve">Alleen Anna Weber-van Bosse noemt niet-Westerse bemanningsleden bij naam: Atoer, Bandong, Radi en Gepeng.</t>
  </si>
  <si>
    <t xml:space="preserve">Max Weber noemt in geen van zijn twee publicaties een enkel inheems bemanningslid, hoewel hij hen wel telt.</t>
  </si>
  <si>
    <t xml:space="preserve">De Gids p.519 geeft 52 koppen 'op vier na uitsluitend uit inlanders bestaande' = 48 inheemse opvarenden;</t>
  </si>
  <si>
    <t xml:space="preserve">Anna p.3 en p.166 komen onafhankelijk op hetzelfde getal 48 uit. De cijfers zijn dus consistent.</t>
  </si>
  <si>
    <t xml:space="preserve">De scheepsarts wordt in geen enkele van de drie publicaties bij naam genoemd.</t>
  </si>
  <si>
    <t xml:space="preserve">Legenda en methodologische verantwoording</t>
  </si>
  <si>
    <t xml:space="preserve">Categorieen</t>
  </si>
  <si>
    <t xml:space="preserve">Methode</t>
  </si>
  <si>
    <t xml:space="preserve">1. Tekstlaag van elke PDF geextraheerd (pdftotext / PyMuPDF).</t>
  </si>
  <si>
    <t xml:space="preserve">2. Gezocht op ruim 30 OCR-varianten per naam, inclusief gespatieerde kapitalen (bv. 'A T O E R').</t>
  </si>
  <si>
    <t xml:space="preserve">3. Valse treffers gefilterd via woordgrenscontrole (bv. 'RADI' in 'Radiolarien', 'Weber-diep' als zeebekken).</t>
  </si>
  <si>
    <t xml:space="preserve">4. Treffers omgerekend naar de gedrukte paginering van elke publicatie.</t>
  </si>
  <si>
    <t xml:space="preserve">Betrouwbaarheid</t>
  </si>
  <si>
    <t xml:space="preserve">De OCR-kwaliteit van de twee gescande boeken is matig, vooral het Franstalige deel</t>
  </si>
  <si>
    <t xml:space="preserve">(gespatieerde kapitalen verschijnen als TYDE?lL\X, HUYS;\IANS enz.).</t>
  </si>
  <si>
    <t xml:space="preserve">Deze index is een scanhulp, geen garantie van volledigheid. Controleer kritieke</t>
  </si>
  <si>
    <t xml:space="preserve">vermeldingen aan het origineel of aan een betere scan.</t>
  </si>
  <si>
    <t xml:space="preserve">De spelling van de inheemse namen is die van de bron (koloniale transcriptie, ca. 1900)</t>
  </si>
  <si>
    <t xml:space="preserve">en hoeft niet overeen te komen met hoe deze personen hun eigen naam schreven.</t>
  </si>
  <si>
    <t xml:space="preserve">Aanbevolen vervolgstappen</t>
  </si>
  <si>
    <t xml:space="preserve">- Monsterrollen van H.M. Siboga raadplegen (Nationaal Archief, archieven Koninklijke Marine /</t>
  </si>
  <si>
    <t xml:space="preserve">  departement van Marine in Nederlands-Indie) voor volledige namen, herkomstkampong en rang.</t>
  </si>
  <si>
    <t xml:space="preserve">- Fotoarchief van de expeditie raadplegen; het frontispice van Anna's boek (groepsfoto Misool,</t>
  </si>
  <si>
    <t xml:space="preserve">  31 augustus 1899) toont de Javaanse matrozen in ceremonieel tenue en is de beste kandidaat</t>
  </si>
  <si>
    <t xml:space="preserve">  voor visuele identificatie bij voldoende resolutie.</t>
  </si>
  <si>
    <t xml:space="preserve">- De scheepsarts identificeren: komt in geen van de drie bronnen bij naam voor.</t>
  </si>
  <si>
    <t xml:space="preserve">SIBOGA EXPEDITION 1899-1900 - index of expedition members and crew</t>
  </si>
  <si>
    <t xml:space="preserve">Page numbers refer to the PRINTED pagination of each publication. Blank = not mentioned in that publication.</t>
  </si>
  <si>
    <t xml:space="preserve">Compiled through automated OCR analysis of the three publications; OCR quality is mediocre, so verify critical mentions against the original.</t>
  </si>
  <si>
    <t xml:space="preserve">Category</t>
  </si>
  <si>
    <t xml:space="preserve">Name</t>
  </si>
  <si>
    <t xml:space="preserve">Role / function</t>
  </si>
  <si>
    <t xml:space="preserve">Origin</t>
  </si>
  <si>
    <t xml:space="preserve">Anna Weber-van Bosse 1902 (printed p.)</t>
  </si>
  <si>
    <t xml:space="preserve">Max Weber, Introduction 1902 (printed p.)</t>
  </si>
  <si>
    <t xml:space="preserve">Max Weber, De Gids 1900 (printed p.)</t>
  </si>
  <si>
    <t xml:space="preserve">Pages with a mention</t>
  </si>
  <si>
    <t xml:space="preserve">Notes</t>
  </si>
  <si>
    <t xml:space="preserve">Non-Western, named</t>
  </si>
  <si>
    <t xml:space="preserve">Mandoer (foreman of the indigenous crew)</t>
  </si>
  <si>
    <t xml:space="preserve">Described as a burly, capable, tall man; performed comedy sketches on deck in the evenings</t>
  </si>
  <si>
    <t xml:space="preserve">Servant/houseboy to the Weber couple</t>
  </si>
  <si>
    <t xml:space="preserve">Husband of the baboe; joined shore excursions; collected a bees' nest among other things</t>
  </si>
  <si>
    <t xml:space="preserve">Houseboy, assistant for drying algae</t>
  </si>
  <si>
    <t xml:space="preserve">Left the ship at Djangkar on 10 March 1899</t>
  </si>
  <si>
    <t xml:space="preserve">Sailor</t>
  </si>
  <si>
    <t xml:space="preserve">Injured on board while freeing the pennant; broke five ribs, later recovered</t>
  </si>
  <si>
    <t xml:space="preserve">Non-Western, by role only</t>
  </si>
  <si>
    <t xml:space="preserve">the baboe (nursemaid/servant)</t>
  </si>
  <si>
    <t xml:space="preserve">Nursemaid/servant to Mrs Weber</t>
  </si>
  <si>
    <t xml:space="preserve">NAME NOT RECORDED. Wife of Bandong; had a son in Buitenzorg</t>
  </si>
  <si>
    <t xml:space="preserve">the mandoer (foreman)</t>
  </si>
  <si>
    <t xml:space="preserve">Foreman of the indigenous crew</t>
  </si>
  <si>
    <t xml:space="preserve">Identical to Atoer; referred to by role more often than by name</t>
  </si>
  <si>
    <t xml:space="preserve">the mestri (ship's carpenter)</t>
  </si>
  <si>
    <t xml:space="preserve">Ship's carpenter</t>
  </si>
  <si>
    <t xml:space="preserve">unknown</t>
  </si>
  <si>
    <t xml:space="preserve">NAME NOT RECORDED</t>
  </si>
  <si>
    <t xml:space="preserve">Non-Western, collective</t>
  </si>
  <si>
    <t xml:space="preserve">Crew (collective)</t>
  </si>
  <si>
    <t xml:space="preserve">Full crew</t>
  </si>
  <si>
    <t xml:space="preserve">De Gids p.519: 52 hands, 'all but four consisting exclusively of natives'</t>
  </si>
  <si>
    <t xml:space="preserve">Javanese sailors / stokers</t>
  </si>
  <si>
    <t xml:space="preserve">Sailors, stokers, petty officers</t>
  </si>
  <si>
    <t xml:space="preserve">Java (largely)</t>
  </si>
  <si>
    <t xml:space="preserve">48 individuals; never named individually apart from those listed above</t>
  </si>
  <si>
    <t xml:space="preserve">European scientific staff</t>
  </si>
  <si>
    <t xml:space="preserve">Botanist / algologist</t>
  </si>
  <si>
    <t xml:space="preserve">Netherlands</t>
  </si>
  <si>
    <t xml:space="preserve">front matter</t>
  </si>
  <si>
    <t xml:space="preserve">Author of 'Een jaar aan boord H.M. Siboga'; the only source naming indigenous crew</t>
  </si>
  <si>
    <t xml:space="preserve">Zoologist, assistant</t>
  </si>
  <si>
    <t xml:space="preserve">Responsible for photography on board</t>
  </si>
  <si>
    <t xml:space="preserve">Draughtsman</t>
  </si>
  <si>
    <t xml:space="preserve">In De Gids only anonymous, as 'a skilled draughtsman' (p.519) and 'the draughtsman' (p.536)</t>
  </si>
  <si>
    <t xml:space="preserve">Expedition leader, zoologist</t>
  </si>
  <si>
    <t xml:space="preserve">front matter, 2, 7, 12, 14, 15, 16, 17, 27, 29, 30, 36, 37, 38, 42, 43, 44, 45, 48, 51, 54, 55, 56, 57, 58, 59, 60, 61, 62, 63, 66, 67, 68, 69, 70, 73, 74, 76, 80, 87, 89, 90, 91, 93, 94, 96, 101, 102, 105, 106, 107, 108, 109, 111, 112, 114, 119, 120, 122, 123, 124, 127, 128, 131, 132, 134, 136, 137, 139, 140, 141, 146, 148, 150, 152, 153, 154, 156, 157, 159, 164, 168, 169, 170, 174, 180, 186, 190, 197, 198, 199, 200, 202, 207, 209, 210, 211, 217, 218, 219, 230, 231, 238, 239, 244, 247, 249, 250, 252, 254, 260, 261, 269, 270, 273, 274, 281, 282, 285, 286, 289, 290, 294, 295, 296, 298, 299, 301, 302, 303, 307, 308, 310, 315, 316, 321, 322, 323, 324, 328, 329, 330, 331</t>
  </si>
  <si>
    <t xml:space="preserve">Author of 'Introduction et description' and of the De Gids article</t>
  </si>
  <si>
    <t xml:space="preserve">European nautical crew</t>
  </si>
  <si>
    <t xml:space="preserve">Second officer / navigator</t>
  </si>
  <si>
    <t xml:space="preserve">Engineer</t>
  </si>
  <si>
    <t xml:space="preserve">Assistant to Klazinga; stayed behind at Surabaya (Anna p.217)</t>
  </si>
  <si>
    <t xml:space="preserve">Chief engineer</t>
  </si>
  <si>
    <t xml:space="preserve">Commander of H.M. Siboga; hydrographer</t>
  </si>
  <si>
    <t xml:space="preserve">Published the hydrographic volume of the Siboga series</t>
  </si>
  <si>
    <t xml:space="preserve">Corporal stoker</t>
  </si>
  <si>
    <t xml:space="preserve">First officer / navigator</t>
  </si>
  <si>
    <t xml:space="preserve">Known for his catchphrase 'Poeter Loye' and the stokers' congratulatory card</t>
  </si>
  <si>
    <t xml:space="preserve">Corporal steward</t>
  </si>
  <si>
    <t xml:space="preserve">Assistant to Klazinga; musical</t>
  </si>
  <si>
    <t xml:space="preserve">Petty officer</t>
  </si>
  <si>
    <t xml:space="preserve">'The stout petty officer'; incident involving the baboe (Anna p.166)</t>
  </si>
  <si>
    <t xml:space="preserve">Officer / engineer</t>
  </si>
  <si>
    <t xml:space="preserve">the ship's doctor</t>
  </si>
  <si>
    <t xml:space="preserve">Ship's doctor</t>
  </si>
  <si>
    <t xml:space="preserve">NAME NOT RECORDED in any of the three publications</t>
  </si>
  <si>
    <t xml:space="preserve">the steward</t>
  </si>
  <si>
    <t xml:space="preserve">Steward</t>
  </si>
  <si>
    <t xml:space="preserve">Possibly identical to Nieuwenhuyzen (corporal steward)</t>
  </si>
  <si>
    <t xml:space="preserve">TOTAL</t>
  </si>
  <si>
    <t xml:space="preserve">The three publications analysed</t>
  </si>
  <si>
    <t xml:space="preserve">Author</t>
  </si>
  <si>
    <t xml:space="preserve">Title</t>
  </si>
  <si>
    <t xml:space="preserve">Year</t>
  </si>
  <si>
    <t xml:space="preserve">Language</t>
  </si>
  <si>
    <t xml:space="preserve">Printed pagination</t>
  </si>
  <si>
    <t xml:space="preserve">PDF offset</t>
  </si>
  <si>
    <t xml:space="preserve">Non-Western crew named</t>
  </si>
  <si>
    <t xml:space="preserve">Total marked page mentions</t>
  </si>
  <si>
    <t xml:space="preserve">Een jaar aan boord H.M. Siboga (2nd edition)</t>
  </si>
  <si>
    <t xml:space="preserve">Dutch</t>
  </si>
  <si>
    <t xml:space="preserve">Popular travel account</t>
  </si>
  <si>
    <t xml:space="preserve">pp. 1-335</t>
  </si>
  <si>
    <t xml:space="preserve">PDF page = printed page + 16</t>
  </si>
  <si>
    <t xml:space="preserve">Introduction et description de l'expedition (Siboga Expedition, monograph I)</t>
  </si>
  <si>
    <t xml:space="preserve">French</t>
  </si>
  <si>
    <t xml:space="preserve">Scientific report</t>
  </si>
  <si>
    <t xml:space="preserve">pp. 1-159</t>
  </si>
  <si>
    <t xml:space="preserve">PDF page = printed page + 2</t>
  </si>
  <si>
    <t xml:space="preserve">De Siboga-expeditie, haar doel en enkele harer resultaten (De Gids, vol. 64)</t>
  </si>
  <si>
    <t xml:space="preserve">Popular-scientific article</t>
  </si>
  <si>
    <t xml:space="preserve">pp. 519-540</t>
  </si>
  <si>
    <t xml:space="preserve">DBNL screen capture; printed page = PDF page + 518</t>
  </si>
  <si>
    <t xml:space="preserve">Key finding</t>
  </si>
  <si>
    <t xml:space="preserve">Only Anna Weber-van Bosse names non-Western crew members: Atoer, Bandong, Radi and Gepeng.</t>
  </si>
  <si>
    <t xml:space="preserve">Max Weber names not a single indigenous crew member in either publication, though he does count them.</t>
  </si>
  <si>
    <t xml:space="preserve">De Gids p.519 gives 52 hands 'all but four consisting exclusively of natives' = 48 indigenous crew;</t>
  </si>
  <si>
    <t xml:space="preserve">Anna p.3 and p.166 independently arrive at the same figure of 48. The counts are therefore consistent.</t>
  </si>
  <si>
    <t xml:space="preserve">The ship's doctor is not named in any of the three publications.</t>
  </si>
  <si>
    <t xml:space="preserve">Legend and methodological notes</t>
  </si>
  <si>
    <t xml:space="preserve">Categories</t>
  </si>
  <si>
    <t xml:space="preserve">Method</t>
  </si>
  <si>
    <t xml:space="preserve">1. Text layer extracted from each PDF (pdftotext / PyMuPDF).</t>
  </si>
  <si>
    <t xml:space="preserve">2. Searched for over 30 OCR variants per name, including letter-spaced capitals (e.g. 'A T O E R').</t>
  </si>
  <si>
    <t xml:space="preserve">3. False positives filtered by word-boundary checks (e.g. 'RADI' inside 'Radiolarien', 'Weber-diep' as a sea basin).</t>
  </si>
  <si>
    <t xml:space="preserve">4. Hits converted to the printed pagination of each publication.</t>
  </si>
  <si>
    <t xml:space="preserve">Reliability</t>
  </si>
  <si>
    <t xml:space="preserve">OCR quality of both scanned books is mediocre, particularly the French volume</t>
  </si>
  <si>
    <t xml:space="preserve">(letter-spaced capitals appear as TYDE?lL\X, HUYS;\IANS etc.).</t>
  </si>
  <si>
    <t xml:space="preserve">This index is a finding aid, not a guarantee of completeness. Verify critical</t>
  </si>
  <si>
    <t xml:space="preserve">mentions against the original or a better scan.</t>
  </si>
  <si>
    <t xml:space="preserve">Spelling of the indigenous names follows the source (colonial transcription, c. 1900)</t>
  </si>
  <si>
    <t xml:space="preserve">and need not match how these individuals wrote or pronounced their own names.</t>
  </si>
  <si>
    <t xml:space="preserve">Recommended next steps</t>
  </si>
  <si>
    <t xml:space="preserve">- Consult the muster rolls of H.M. Siboga (Nationaal Archief, Royal Netherlands Navy /</t>
  </si>
  <si>
    <t xml:space="preserve">  Department of the Navy in the Netherlands Indies) for full names, home kampong and rank.</t>
  </si>
  <si>
    <t xml:space="preserve">- Consult the expedition photo archive; the frontispiece of Anna's book (group photograph,</t>
  </si>
  <si>
    <t xml:space="preserve">  Misool, 31 August 1899) shows the Javanese sailors in ceremonial dress and is the best</t>
  </si>
  <si>
    <t xml:space="preserve">  candidate for visual identification at sufficient resolution.</t>
  </si>
  <si>
    <t xml:space="preserve">- Identify the ship's doctor: not named in any of the three sources.</t>
  </si>
</sst>
</file>

<file path=xl/styles.xml><?xml version="1.0" encoding="utf-8"?>
<styleSheet xmlns="http://schemas.openxmlformats.org/spreadsheetml/2006/main">
  <numFmts count="2">
    <numFmt numFmtId="164" formatCode="General"/>
    <numFmt numFmtId="165" formatCode="General"/>
  </numFmts>
  <fonts count="11">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i val="true"/>
      <sz val="9"/>
      <color rgb="FF595959"/>
      <name val="Arial"/>
      <family val="0"/>
      <charset val="1"/>
    </font>
    <font>
      <b val="true"/>
      <sz val="10"/>
      <color rgb="FFFFFFFF"/>
      <name val="Arial"/>
      <family val="0"/>
      <charset val="1"/>
    </font>
    <font>
      <sz val="10"/>
      <name val="Arial"/>
      <family val="0"/>
      <charset val="1"/>
    </font>
    <font>
      <b val="true"/>
      <sz val="10"/>
      <name val="Arial"/>
      <family val="0"/>
      <charset val="1"/>
    </font>
    <font>
      <b val="true"/>
      <sz val="11"/>
      <color rgb="FF1F3864"/>
      <name val="Arial"/>
      <family val="0"/>
      <charset val="1"/>
    </font>
    <font>
      <b val="true"/>
      <sz val="11"/>
      <name val="Arial"/>
      <family val="0"/>
      <charset val="1"/>
    </font>
  </fonts>
  <fills count="8">
    <fill>
      <patternFill patternType="none"/>
    </fill>
    <fill>
      <patternFill patternType="gray125"/>
    </fill>
    <fill>
      <patternFill patternType="solid">
        <fgColor rgb="FF1F3864"/>
        <bgColor rgb="FF333333"/>
      </patternFill>
    </fill>
    <fill>
      <patternFill patternType="solid">
        <fgColor rgb="FFFFCC66"/>
        <bgColor rgb="FFFFCC00"/>
      </patternFill>
    </fill>
    <fill>
      <patternFill patternType="solid">
        <fgColor rgb="FFC6E6B0"/>
        <bgColor rgb="FFE2F0D9"/>
      </patternFill>
    </fill>
    <fill>
      <patternFill patternType="solid">
        <fgColor rgb="FFE2F0D9"/>
        <bgColor rgb="FFFFFFCC"/>
      </patternFill>
    </fill>
    <fill>
      <patternFill patternType="solid">
        <fgColor rgb="FFBDD7EE"/>
        <bgColor rgb="FFD9C2F0"/>
      </patternFill>
    </fill>
    <fill>
      <patternFill patternType="solid">
        <fgColor rgb="FFD9C2F0"/>
        <bgColor rgb="FFBFBFB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center" textRotation="0" wrapText="true" indent="0" shrinkToFit="false"/>
      <protection locked="true" hidden="false"/>
    </xf>
    <xf numFmtId="164" fontId="7" fillId="3" borderId="1" xfId="0" applyFont="true" applyBorder="true" applyAlignment="true" applyProtection="false">
      <alignment horizontal="general" vertical="top" textRotation="0" wrapText="false" indent="0" shrinkToFit="false"/>
      <protection locked="true" hidden="false"/>
    </xf>
    <xf numFmtId="164" fontId="8" fillId="0" borderId="1" xfId="0" applyFont="true" applyBorder="true" applyAlignment="true" applyProtection="false">
      <alignment horizontal="general"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false" indent="0" shrinkToFit="false"/>
      <protection locked="true" hidden="false"/>
    </xf>
    <xf numFmtId="164" fontId="7" fillId="0" borderId="1" xfId="0" applyFont="true" applyBorder="true" applyAlignment="true" applyProtection="false">
      <alignment horizontal="center" vertical="top" textRotation="0" wrapText="false" indent="0" shrinkToFit="false"/>
      <protection locked="true" hidden="false"/>
    </xf>
    <xf numFmtId="164" fontId="7" fillId="4" borderId="1" xfId="0" applyFont="true" applyBorder="true" applyAlignment="true" applyProtection="false">
      <alignment horizontal="general" vertical="top" textRotation="0" wrapText="false" indent="0" shrinkToFit="false"/>
      <protection locked="true" hidden="false"/>
    </xf>
    <xf numFmtId="164" fontId="7" fillId="5" borderId="1" xfId="0" applyFont="true" applyBorder="true" applyAlignment="true" applyProtection="false">
      <alignment horizontal="general" vertical="top" textRotation="0" wrapText="false" indent="0" shrinkToFit="false"/>
      <protection locked="true" hidden="false"/>
    </xf>
    <xf numFmtId="164" fontId="7" fillId="6" borderId="1" xfId="0" applyFont="true" applyBorder="true" applyAlignment="true" applyProtection="false">
      <alignment horizontal="general" vertical="top" textRotation="0" wrapText="false" indent="0" shrinkToFit="false"/>
      <protection locked="true" hidden="false"/>
    </xf>
    <xf numFmtId="164" fontId="7" fillId="7" borderId="1" xfId="0" applyFont="true" applyBorder="true" applyAlignment="true" applyProtection="false">
      <alignment horizontal="general" vertical="top"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true" applyProtection="false">
      <alignment horizontal="center"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4" fontId="0" fillId="6" borderId="1" xfId="0" applyFont="false" applyBorder="true" applyAlignment="false" applyProtection="false">
      <alignment horizontal="general" vertical="bottom" textRotation="0" wrapText="false" indent="0" shrinkToFit="false"/>
      <protection locked="true" hidden="false"/>
    </xf>
    <xf numFmtId="164" fontId="0" fillId="7" borderId="1" xfId="0" applyFont="false" applyBorder="true" applyAlignment="false" applyProtection="false">
      <alignment horizontal="general" vertical="bottom" textRotation="0" wrapText="false" indent="0" shrinkToFit="false"/>
      <protection locked="true" hidden="false"/>
    </xf>
    <xf numFmtId="164" fontId="7" fillId="0" borderId="0"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fgColor rgb="FF1F3864"/>
          <bgColor rgb="FF000000"/>
        </patternFill>
      </fill>
    </dxf>
    <dxf>
      <fill>
        <patternFill patternType="solid">
          <fgColor rgb="FFBDD7EE"/>
          <bgColor rgb="FF000000"/>
        </patternFill>
      </fill>
    </dxf>
    <dxf>
      <fill>
        <patternFill patternType="solid">
          <fgColor rgb="FFC6E6B0"/>
          <bgColor rgb="FF000000"/>
        </patternFill>
      </fill>
    </dxf>
    <dxf>
      <fill>
        <patternFill patternType="solid">
          <fgColor rgb="FFD9C2F0"/>
          <bgColor rgb="FF000000"/>
        </patternFill>
      </fill>
    </dxf>
    <dxf>
      <fill>
        <patternFill patternType="solid">
          <fgColor rgb="FFE2F0D9"/>
          <bgColor rgb="FF000000"/>
        </patternFill>
      </fill>
    </dxf>
    <dxf>
      <fill>
        <patternFill patternType="solid">
          <fgColor rgb="FFFFCC66"/>
          <bgColor rgb="FF000000"/>
        </patternFill>
      </fill>
    </dxf>
    <dxf>
      <fill>
        <patternFill patternType="solid">
          <fgColor rgb="FFFFFFFF"/>
          <bgColor rgb="FF000000"/>
        </patternFill>
      </fill>
    </dxf>
    <dxf>
      <fill>
        <patternFill patternType="solid">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6E6B0"/>
      <rgbColor rgb="FF660066"/>
      <rgbColor rgb="FFFF8080"/>
      <rgbColor rgb="FF0066CC"/>
      <rgbColor rgb="FFD9C2F0"/>
      <rgbColor rgb="FF000080"/>
      <rgbColor rgb="FFFF00FF"/>
      <rgbColor rgb="FFFFFF00"/>
      <rgbColor rgb="FF00FFFF"/>
      <rgbColor rgb="FF800080"/>
      <rgbColor rgb="FF800000"/>
      <rgbColor rgb="FF008080"/>
      <rgbColor rgb="FF0000FF"/>
      <rgbColor rgb="FF00CCFF"/>
      <rgbColor rgb="FFCCFFFF"/>
      <rgbColor rgb="FFE2F0D9"/>
      <rgbColor rgb="FFFFFF99"/>
      <rgbColor rgb="FFBDD7EE"/>
      <rgbColor rgb="FFFF99CC"/>
      <rgbColor rgb="FFCC99FF"/>
      <rgbColor rgb="FFFFCC66"/>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30"/>
    <col collapsed="false" customWidth="true" hidden="false" outlineLevel="0" max="3" min="3" style="0" width="34"/>
    <col collapsed="false" customWidth="true" hidden="false" outlineLevel="0" max="4" min="4" style="0" width="20"/>
    <col collapsed="false" customWidth="true" hidden="false" outlineLevel="0" max="5" min="5" style="0" width="46"/>
    <col collapsed="false" customWidth="true" hidden="false" outlineLevel="0" max="6" min="6" style="0" width="30"/>
    <col collapsed="false" customWidth="true" hidden="false" outlineLevel="0" max="7" min="7" style="0" width="26"/>
    <col collapsed="false" customWidth="true" hidden="false" outlineLevel="0" max="8" min="8" style="0" width="13"/>
    <col collapsed="false" customWidth="true" hidden="false" outlineLevel="0" max="9" min="9" style="0" width="52"/>
  </cols>
  <sheetData>
    <row r="1" customFormat="false" ht="17.3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2" t="s">
        <v>2</v>
      </c>
    </row>
    <row r="5" customFormat="false" ht="42" hidden="false" customHeight="true" outlineLevel="0" collapsed="false">
      <c r="A5" s="3" t="s">
        <v>3</v>
      </c>
      <c r="B5" s="3" t="s">
        <v>4</v>
      </c>
      <c r="C5" s="3" t="s">
        <v>5</v>
      </c>
      <c r="D5" s="3" t="s">
        <v>6</v>
      </c>
      <c r="E5" s="3" t="s">
        <v>7</v>
      </c>
      <c r="F5" s="3" t="s">
        <v>8</v>
      </c>
      <c r="G5" s="3" t="s">
        <v>9</v>
      </c>
      <c r="H5" s="3" t="s">
        <v>10</v>
      </c>
      <c r="I5" s="3" t="s">
        <v>11</v>
      </c>
    </row>
    <row r="6" customFormat="false" ht="23.85" hidden="false" customHeight="false" outlineLevel="0" collapsed="false">
      <c r="A6" s="4" t="s">
        <v>12</v>
      </c>
      <c r="B6" s="5" t="s">
        <v>13</v>
      </c>
      <c r="C6" s="6" t="s">
        <v>14</v>
      </c>
      <c r="D6" s="7" t="s">
        <v>15</v>
      </c>
      <c r="E6" s="6" t="s">
        <v>16</v>
      </c>
      <c r="F6" s="6"/>
      <c r="G6" s="6"/>
      <c r="H6" s="8" t="n">
        <v>1</v>
      </c>
      <c r="I6" s="6" t="s">
        <v>17</v>
      </c>
    </row>
    <row r="7" customFormat="false" ht="23.85" hidden="false" customHeight="false" outlineLevel="0" collapsed="false">
      <c r="A7" s="4" t="s">
        <v>12</v>
      </c>
      <c r="B7" s="5" t="s">
        <v>18</v>
      </c>
      <c r="C7" s="6" t="s">
        <v>19</v>
      </c>
      <c r="D7" s="7" t="s">
        <v>20</v>
      </c>
      <c r="E7" s="6" t="s">
        <v>21</v>
      </c>
      <c r="F7" s="6"/>
      <c r="G7" s="6"/>
      <c r="H7" s="8" t="n">
        <v>18</v>
      </c>
      <c r="I7" s="6" t="s">
        <v>22</v>
      </c>
    </row>
    <row r="8" customFormat="false" ht="23.85" hidden="false" customHeight="false" outlineLevel="0" collapsed="false">
      <c r="A8" s="4" t="s">
        <v>12</v>
      </c>
      <c r="B8" s="5" t="s">
        <v>23</v>
      </c>
      <c r="C8" s="6" t="s">
        <v>24</v>
      </c>
      <c r="D8" s="7" t="s">
        <v>15</v>
      </c>
      <c r="E8" s="6" t="s">
        <v>25</v>
      </c>
      <c r="F8" s="6"/>
      <c r="G8" s="6"/>
      <c r="H8" s="8" t="n">
        <v>1</v>
      </c>
      <c r="I8" s="6" t="s">
        <v>26</v>
      </c>
    </row>
    <row r="9" customFormat="false" ht="23.85" hidden="false" customHeight="false" outlineLevel="0" collapsed="false">
      <c r="A9" s="4" t="s">
        <v>12</v>
      </c>
      <c r="B9" s="5" t="s">
        <v>27</v>
      </c>
      <c r="C9" s="6" t="s">
        <v>28</v>
      </c>
      <c r="D9" s="7" t="s">
        <v>15</v>
      </c>
      <c r="E9" s="6" t="s">
        <v>29</v>
      </c>
      <c r="F9" s="6"/>
      <c r="G9" s="6"/>
      <c r="H9" s="8" t="n">
        <v>1</v>
      </c>
      <c r="I9" s="6" t="s">
        <v>30</v>
      </c>
    </row>
    <row r="10" customFormat="false" ht="23.85" hidden="false" customHeight="false" outlineLevel="0" collapsed="false">
      <c r="A10" s="9" t="s">
        <v>31</v>
      </c>
      <c r="B10" s="5" t="s">
        <v>32</v>
      </c>
      <c r="C10" s="6" t="s">
        <v>33</v>
      </c>
      <c r="D10" s="7" t="s">
        <v>20</v>
      </c>
      <c r="E10" s="6" t="s">
        <v>34</v>
      </c>
      <c r="F10" s="6"/>
      <c r="G10" s="6"/>
      <c r="H10" s="8" t="n">
        <v>19</v>
      </c>
      <c r="I10" s="6" t="s">
        <v>35</v>
      </c>
    </row>
    <row r="11" customFormat="false" ht="23.85" hidden="false" customHeight="false" outlineLevel="0" collapsed="false">
      <c r="A11" s="9" t="s">
        <v>31</v>
      </c>
      <c r="B11" s="5" t="s">
        <v>36</v>
      </c>
      <c r="C11" s="6" t="s">
        <v>37</v>
      </c>
      <c r="D11" s="7" t="s">
        <v>15</v>
      </c>
      <c r="E11" s="6" t="s">
        <v>38</v>
      </c>
      <c r="F11" s="6"/>
      <c r="G11" s="6"/>
      <c r="H11" s="8" t="n">
        <v>4</v>
      </c>
      <c r="I11" s="6" t="s">
        <v>39</v>
      </c>
    </row>
    <row r="12" customFormat="false" ht="15" hidden="false" customHeight="false" outlineLevel="0" collapsed="false">
      <c r="A12" s="9" t="s">
        <v>31</v>
      </c>
      <c r="B12" s="5" t="s">
        <v>40</v>
      </c>
      <c r="C12" s="6" t="s">
        <v>41</v>
      </c>
      <c r="D12" s="7" t="s">
        <v>42</v>
      </c>
      <c r="E12" s="6" t="s">
        <v>43</v>
      </c>
      <c r="F12" s="6"/>
      <c r="G12" s="6"/>
      <c r="H12" s="8" t="n">
        <v>2</v>
      </c>
      <c r="I12" s="6" t="s">
        <v>44</v>
      </c>
    </row>
    <row r="13" customFormat="false" ht="23.85" hidden="false" customHeight="false" outlineLevel="0" collapsed="false">
      <c r="A13" s="10" t="s">
        <v>45</v>
      </c>
      <c r="B13" s="5" t="s">
        <v>46</v>
      </c>
      <c r="C13" s="6" t="s">
        <v>47</v>
      </c>
      <c r="D13" s="7" t="s">
        <v>48</v>
      </c>
      <c r="E13" s="6"/>
      <c r="F13" s="6"/>
      <c r="G13" s="6" t="s">
        <v>49</v>
      </c>
      <c r="H13" s="8" t="n">
        <v>1</v>
      </c>
      <c r="I13" s="6" t="s">
        <v>50</v>
      </c>
    </row>
    <row r="14" customFormat="false" ht="23.85" hidden="false" customHeight="false" outlineLevel="0" collapsed="false">
      <c r="A14" s="10" t="s">
        <v>45</v>
      </c>
      <c r="B14" s="5" t="s">
        <v>51</v>
      </c>
      <c r="C14" s="6" t="s">
        <v>52</v>
      </c>
      <c r="D14" s="7" t="s">
        <v>53</v>
      </c>
      <c r="E14" s="6" t="s">
        <v>54</v>
      </c>
      <c r="F14" s="6"/>
      <c r="G14" s="6"/>
      <c r="H14" s="8" t="n">
        <v>23</v>
      </c>
      <c r="I14" s="6" t="s">
        <v>55</v>
      </c>
    </row>
    <row r="15" customFormat="false" ht="23.85" hidden="false" customHeight="false" outlineLevel="0" collapsed="false">
      <c r="A15" s="11" t="s">
        <v>56</v>
      </c>
      <c r="B15" s="5" t="s">
        <v>57</v>
      </c>
      <c r="C15" s="6" t="s">
        <v>58</v>
      </c>
      <c r="D15" s="7" t="s">
        <v>59</v>
      </c>
      <c r="E15" s="6" t="s">
        <v>60</v>
      </c>
      <c r="F15" s="6" t="s">
        <v>61</v>
      </c>
      <c r="G15" s="6"/>
      <c r="H15" s="8" t="n">
        <v>2</v>
      </c>
      <c r="I15" s="6" t="s">
        <v>62</v>
      </c>
    </row>
    <row r="16" customFormat="false" ht="23.85" hidden="false" customHeight="false" outlineLevel="0" collapsed="false">
      <c r="A16" s="11" t="s">
        <v>56</v>
      </c>
      <c r="B16" s="5" t="s">
        <v>63</v>
      </c>
      <c r="C16" s="6" t="s">
        <v>64</v>
      </c>
      <c r="D16" s="7" t="s">
        <v>59</v>
      </c>
      <c r="E16" s="6" t="s">
        <v>65</v>
      </c>
      <c r="F16" s="6" t="s">
        <v>66</v>
      </c>
      <c r="G16" s="6"/>
      <c r="H16" s="8" t="n">
        <v>23</v>
      </c>
      <c r="I16" s="6" t="s">
        <v>67</v>
      </c>
    </row>
    <row r="17" customFormat="false" ht="46.25" hidden="false" customHeight="false" outlineLevel="0" collapsed="false">
      <c r="A17" s="11" t="s">
        <v>56</v>
      </c>
      <c r="B17" s="5" t="s">
        <v>68</v>
      </c>
      <c r="C17" s="6" t="s">
        <v>64</v>
      </c>
      <c r="D17" s="7" t="s">
        <v>59</v>
      </c>
      <c r="E17" s="6" t="s">
        <v>69</v>
      </c>
      <c r="F17" s="6" t="s">
        <v>70</v>
      </c>
      <c r="G17" s="6"/>
      <c r="H17" s="8" t="n">
        <v>54</v>
      </c>
      <c r="I17" s="6"/>
    </row>
    <row r="18" customFormat="false" ht="23.85" hidden="false" customHeight="false" outlineLevel="0" collapsed="false">
      <c r="A18" s="11" t="s">
        <v>56</v>
      </c>
      <c r="B18" s="5" t="s">
        <v>71</v>
      </c>
      <c r="C18" s="6" t="s">
        <v>72</v>
      </c>
      <c r="D18" s="7" t="s">
        <v>59</v>
      </c>
      <c r="E18" s="6" t="s">
        <v>73</v>
      </c>
      <c r="F18" s="6"/>
      <c r="G18" s="6"/>
      <c r="H18" s="8" t="n">
        <v>24</v>
      </c>
      <c r="I18" s="6" t="s">
        <v>74</v>
      </c>
    </row>
    <row r="19" customFormat="false" ht="135.8" hidden="false" customHeight="false" outlineLevel="0" collapsed="false">
      <c r="A19" s="11" t="s">
        <v>56</v>
      </c>
      <c r="B19" s="5" t="s">
        <v>75</v>
      </c>
      <c r="C19" s="6" t="s">
        <v>76</v>
      </c>
      <c r="D19" s="7" t="s">
        <v>59</v>
      </c>
      <c r="E19" s="6" t="s">
        <v>77</v>
      </c>
      <c r="F19" s="6" t="s">
        <v>78</v>
      </c>
      <c r="G19" s="6" t="s">
        <v>79</v>
      </c>
      <c r="H19" s="8" t="n">
        <v>159</v>
      </c>
      <c r="I19" s="6" t="s">
        <v>80</v>
      </c>
    </row>
    <row r="20" customFormat="false" ht="23.85" hidden="false" customHeight="false" outlineLevel="0" collapsed="false">
      <c r="A20" s="12" t="s">
        <v>81</v>
      </c>
      <c r="B20" s="5" t="s">
        <v>82</v>
      </c>
      <c r="C20" s="6" t="s">
        <v>83</v>
      </c>
      <c r="D20" s="7" t="s">
        <v>59</v>
      </c>
      <c r="E20" s="6" t="s">
        <v>84</v>
      </c>
      <c r="F20" s="6" t="s">
        <v>85</v>
      </c>
      <c r="G20" s="6"/>
      <c r="H20" s="8" t="n">
        <v>18</v>
      </c>
      <c r="I20" s="6"/>
    </row>
    <row r="21" customFormat="false" ht="15" hidden="false" customHeight="false" outlineLevel="0" collapsed="false">
      <c r="A21" s="12" t="s">
        <v>81</v>
      </c>
      <c r="B21" s="5" t="s">
        <v>86</v>
      </c>
      <c r="C21" s="6" t="s">
        <v>87</v>
      </c>
      <c r="D21" s="7" t="s">
        <v>59</v>
      </c>
      <c r="E21" s="6" t="s">
        <v>88</v>
      </c>
      <c r="F21" s="6"/>
      <c r="G21" s="6"/>
      <c r="H21" s="8" t="n">
        <v>2</v>
      </c>
      <c r="I21" s="6" t="s">
        <v>89</v>
      </c>
    </row>
    <row r="22" customFormat="false" ht="15" hidden="false" customHeight="false" outlineLevel="0" collapsed="false">
      <c r="A22" s="12" t="s">
        <v>81</v>
      </c>
      <c r="B22" s="5" t="s">
        <v>90</v>
      </c>
      <c r="C22" s="6" t="s">
        <v>91</v>
      </c>
      <c r="D22" s="7" t="s">
        <v>59</v>
      </c>
      <c r="E22" s="6" t="s">
        <v>92</v>
      </c>
      <c r="F22" s="6" t="s">
        <v>93</v>
      </c>
      <c r="G22" s="6"/>
      <c r="H22" s="8" t="n">
        <v>10</v>
      </c>
      <c r="I22" s="6"/>
    </row>
    <row r="23" customFormat="false" ht="57.45" hidden="false" customHeight="false" outlineLevel="0" collapsed="false">
      <c r="A23" s="12" t="s">
        <v>81</v>
      </c>
      <c r="B23" s="5" t="s">
        <v>94</v>
      </c>
      <c r="C23" s="6" t="s">
        <v>95</v>
      </c>
      <c r="D23" s="7" t="s">
        <v>59</v>
      </c>
      <c r="E23" s="6" t="s">
        <v>96</v>
      </c>
      <c r="F23" s="6" t="s">
        <v>97</v>
      </c>
      <c r="G23" s="6" t="s">
        <v>98</v>
      </c>
      <c r="H23" s="8" t="n">
        <v>70</v>
      </c>
      <c r="I23" s="6" t="s">
        <v>99</v>
      </c>
    </row>
    <row r="24" customFormat="false" ht="15" hidden="false" customHeight="false" outlineLevel="0" collapsed="false">
      <c r="A24" s="12" t="s">
        <v>81</v>
      </c>
      <c r="B24" s="5" t="s">
        <v>100</v>
      </c>
      <c r="C24" s="6" t="s">
        <v>101</v>
      </c>
      <c r="D24" s="7" t="s">
        <v>59</v>
      </c>
      <c r="E24" s="6" t="s">
        <v>102</v>
      </c>
      <c r="F24" s="6"/>
      <c r="G24" s="6"/>
      <c r="H24" s="8" t="n">
        <v>3</v>
      </c>
      <c r="I24" s="6"/>
    </row>
    <row r="25" customFormat="false" ht="23.85" hidden="false" customHeight="false" outlineLevel="0" collapsed="false">
      <c r="A25" s="12" t="s">
        <v>81</v>
      </c>
      <c r="B25" s="5" t="s">
        <v>103</v>
      </c>
      <c r="C25" s="6" t="s">
        <v>104</v>
      </c>
      <c r="D25" s="7" t="s">
        <v>59</v>
      </c>
      <c r="E25" s="6" t="s">
        <v>105</v>
      </c>
      <c r="F25" s="6" t="s">
        <v>25</v>
      </c>
      <c r="G25" s="6"/>
      <c r="H25" s="8" t="n">
        <v>25</v>
      </c>
      <c r="I25" s="6"/>
    </row>
    <row r="26" customFormat="false" ht="23.85" hidden="false" customHeight="false" outlineLevel="0" collapsed="false">
      <c r="A26" s="12" t="s">
        <v>81</v>
      </c>
      <c r="B26" s="5" t="s">
        <v>106</v>
      </c>
      <c r="C26" s="6" t="s">
        <v>101</v>
      </c>
      <c r="D26" s="7" t="s">
        <v>59</v>
      </c>
      <c r="E26" s="6" t="s">
        <v>107</v>
      </c>
      <c r="F26" s="6"/>
      <c r="G26" s="6"/>
      <c r="H26" s="8" t="n">
        <v>19</v>
      </c>
      <c r="I26" s="6" t="s">
        <v>108</v>
      </c>
    </row>
    <row r="27" customFormat="false" ht="15" hidden="false" customHeight="false" outlineLevel="0" collapsed="false">
      <c r="A27" s="12" t="s">
        <v>81</v>
      </c>
      <c r="B27" s="5" t="s">
        <v>109</v>
      </c>
      <c r="C27" s="6" t="s">
        <v>110</v>
      </c>
      <c r="D27" s="7" t="s">
        <v>59</v>
      </c>
      <c r="E27" s="6" t="s">
        <v>16</v>
      </c>
      <c r="F27" s="6"/>
      <c r="G27" s="6"/>
      <c r="H27" s="8" t="n">
        <v>1</v>
      </c>
      <c r="I27" s="6"/>
    </row>
    <row r="28" customFormat="false" ht="15" hidden="false" customHeight="false" outlineLevel="0" collapsed="false">
      <c r="A28" s="12" t="s">
        <v>81</v>
      </c>
      <c r="B28" s="5" t="s">
        <v>111</v>
      </c>
      <c r="C28" s="6" t="s">
        <v>87</v>
      </c>
      <c r="D28" s="7" t="s">
        <v>59</v>
      </c>
      <c r="E28" s="6" t="s">
        <v>112</v>
      </c>
      <c r="F28" s="6"/>
      <c r="G28" s="6"/>
      <c r="H28" s="8" t="n">
        <v>2</v>
      </c>
      <c r="I28" s="6" t="s">
        <v>113</v>
      </c>
    </row>
    <row r="29" customFormat="false" ht="15" hidden="false" customHeight="false" outlineLevel="0" collapsed="false">
      <c r="A29" s="12" t="s">
        <v>81</v>
      </c>
      <c r="B29" s="5" t="s">
        <v>114</v>
      </c>
      <c r="C29" s="6" t="s">
        <v>115</v>
      </c>
      <c r="D29" s="7" t="s">
        <v>59</v>
      </c>
      <c r="E29" s="6" t="s">
        <v>116</v>
      </c>
      <c r="F29" s="6"/>
      <c r="G29" s="6"/>
      <c r="H29" s="8" t="n">
        <v>1</v>
      </c>
      <c r="I29" s="6" t="s">
        <v>117</v>
      </c>
    </row>
    <row r="30" customFormat="false" ht="15" hidden="false" customHeight="false" outlineLevel="0" collapsed="false">
      <c r="A30" s="12" t="s">
        <v>81</v>
      </c>
      <c r="B30" s="5" t="s">
        <v>118</v>
      </c>
      <c r="C30" s="6" t="s">
        <v>119</v>
      </c>
      <c r="D30" s="7" t="s">
        <v>59</v>
      </c>
      <c r="E30" s="6" t="s">
        <v>120</v>
      </c>
      <c r="F30" s="6"/>
      <c r="G30" s="6"/>
      <c r="H30" s="8" t="n">
        <v>5</v>
      </c>
      <c r="I30" s="6"/>
    </row>
    <row r="31" customFormat="false" ht="15" hidden="false" customHeight="false" outlineLevel="0" collapsed="false">
      <c r="A31" s="12" t="s">
        <v>81</v>
      </c>
      <c r="B31" s="5" t="s">
        <v>121</v>
      </c>
      <c r="C31" s="6" t="s">
        <v>101</v>
      </c>
      <c r="D31" s="7" t="s">
        <v>59</v>
      </c>
      <c r="E31" s="6" t="s">
        <v>122</v>
      </c>
      <c r="F31" s="6"/>
      <c r="G31" s="6"/>
      <c r="H31" s="8" t="n">
        <v>2</v>
      </c>
      <c r="I31" s="6"/>
    </row>
    <row r="32" customFormat="false" ht="15" hidden="false" customHeight="false" outlineLevel="0" collapsed="false">
      <c r="A32" s="12" t="s">
        <v>81</v>
      </c>
      <c r="B32" s="5" t="s">
        <v>123</v>
      </c>
      <c r="C32" s="6" t="s">
        <v>124</v>
      </c>
      <c r="D32" s="7" t="s">
        <v>59</v>
      </c>
      <c r="E32" s="6" t="s">
        <v>125</v>
      </c>
      <c r="F32" s="6"/>
      <c r="G32" s="6" t="s">
        <v>49</v>
      </c>
      <c r="H32" s="8" t="n">
        <v>12</v>
      </c>
      <c r="I32" s="6" t="s">
        <v>126</v>
      </c>
    </row>
    <row r="33" customFormat="false" ht="15" hidden="false" customHeight="false" outlineLevel="0" collapsed="false">
      <c r="A33" s="12" t="s">
        <v>81</v>
      </c>
      <c r="B33" s="5" t="s">
        <v>127</v>
      </c>
      <c r="C33" s="6" t="s">
        <v>128</v>
      </c>
      <c r="D33" s="7" t="s">
        <v>59</v>
      </c>
      <c r="E33" s="6" t="s">
        <v>129</v>
      </c>
      <c r="F33" s="6"/>
      <c r="G33" s="6"/>
      <c r="H33" s="8" t="n">
        <v>11</v>
      </c>
      <c r="I33" s="6" t="s">
        <v>130</v>
      </c>
    </row>
    <row r="34" customFormat="false" ht="15" hidden="false" customHeight="false" outlineLevel="0" collapsed="false">
      <c r="B34" s="13" t="s">
        <v>131</v>
      </c>
      <c r="H34" s="14" t="n">
        <f aca="false">SUM(H6:H33)</f>
        <v>513</v>
      </c>
    </row>
  </sheetData>
  <autoFilter ref="A5:I3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4"/>
    <col collapsed="false" customWidth="true" hidden="false" outlineLevel="0" max="3" min="3" style="0" width="52"/>
    <col collapsed="false" customWidth="true" hidden="false" outlineLevel="0" max="4" min="4" style="0" width="8"/>
    <col collapsed="false" customWidth="true" hidden="false" outlineLevel="0" max="5" min="5" style="0" width="13"/>
    <col collapsed="false" customWidth="true" hidden="false" outlineLevel="0" max="6" min="6" style="0" width="28"/>
    <col collapsed="false" customWidth="true" hidden="false" outlineLevel="0" max="7" min="7" style="0" width="20"/>
    <col collapsed="false" customWidth="true" hidden="false" outlineLevel="0" max="8" min="8" style="0" width="40"/>
    <col collapsed="false" customWidth="true" hidden="false" outlineLevel="0" max="10" min="9" style="0" width="22"/>
  </cols>
  <sheetData>
    <row r="1" customFormat="false" ht="17.35" hidden="false" customHeight="false" outlineLevel="0" collapsed="false">
      <c r="A1" s="1" t="s">
        <v>132</v>
      </c>
    </row>
    <row r="3" customFormat="false" ht="43.5" hidden="false" customHeight="true" outlineLevel="0" collapsed="false">
      <c r="A3" s="3" t="s">
        <v>133</v>
      </c>
      <c r="B3" s="3" t="s">
        <v>134</v>
      </c>
      <c r="C3" s="3" t="s">
        <v>135</v>
      </c>
      <c r="D3" s="3" t="s">
        <v>136</v>
      </c>
      <c r="E3" s="3" t="s">
        <v>137</v>
      </c>
      <c r="F3" s="3" t="s">
        <v>138</v>
      </c>
      <c r="G3" s="3" t="s">
        <v>139</v>
      </c>
      <c r="H3" s="3" t="s">
        <v>140</v>
      </c>
      <c r="I3" s="3" t="s">
        <v>141</v>
      </c>
      <c r="J3" s="3" t="s">
        <v>142</v>
      </c>
    </row>
    <row r="4" customFormat="false" ht="15" hidden="false" customHeight="false" outlineLevel="0" collapsed="false">
      <c r="A4" s="7" t="n">
        <v>1</v>
      </c>
      <c r="B4" s="7" t="s">
        <v>57</v>
      </c>
      <c r="C4" s="6" t="s">
        <v>143</v>
      </c>
      <c r="D4" s="7" t="n">
        <v>1902</v>
      </c>
      <c r="E4" s="7" t="s">
        <v>144</v>
      </c>
      <c r="F4" s="7" t="s">
        <v>145</v>
      </c>
      <c r="G4" s="6" t="s">
        <v>146</v>
      </c>
      <c r="H4" s="6" t="s">
        <v>147</v>
      </c>
      <c r="I4" s="7" t="n">
        <v>4</v>
      </c>
      <c r="J4" s="7" t="n">
        <v>467</v>
      </c>
    </row>
    <row r="5" customFormat="false" ht="23.85" hidden="false" customHeight="false" outlineLevel="0" collapsed="false">
      <c r="A5" s="7" t="n">
        <v>2</v>
      </c>
      <c r="B5" s="7" t="s">
        <v>75</v>
      </c>
      <c r="C5" s="6" t="s">
        <v>148</v>
      </c>
      <c r="D5" s="7" t="n">
        <v>1902</v>
      </c>
      <c r="E5" s="7" t="s">
        <v>149</v>
      </c>
      <c r="F5" s="7" t="s">
        <v>150</v>
      </c>
      <c r="G5" s="6" t="s">
        <v>151</v>
      </c>
      <c r="H5" s="6" t="s">
        <v>152</v>
      </c>
      <c r="I5" s="7" t="n">
        <v>0</v>
      </c>
      <c r="J5" s="7" t="n">
        <v>42</v>
      </c>
    </row>
    <row r="6" customFormat="false" ht="23.85" hidden="false" customHeight="false" outlineLevel="0" collapsed="false">
      <c r="A6" s="7" t="n">
        <v>3</v>
      </c>
      <c r="B6" s="7" t="s">
        <v>75</v>
      </c>
      <c r="C6" s="6" t="s">
        <v>153</v>
      </c>
      <c r="D6" s="7" t="n">
        <v>1900</v>
      </c>
      <c r="E6" s="7" t="s">
        <v>144</v>
      </c>
      <c r="F6" s="7" t="s">
        <v>154</v>
      </c>
      <c r="G6" s="6" t="s">
        <v>155</v>
      </c>
      <c r="H6" s="6" t="s">
        <v>156</v>
      </c>
      <c r="I6" s="7" t="n">
        <v>0</v>
      </c>
      <c r="J6" s="7" t="n">
        <v>4</v>
      </c>
    </row>
    <row r="9" customFormat="false" ht="15" hidden="false" customHeight="false" outlineLevel="0" collapsed="false">
      <c r="A9" s="15" t="s">
        <v>157</v>
      </c>
    </row>
    <row r="10" customFormat="false" ht="15" hidden="false" customHeight="false" outlineLevel="0" collapsed="false">
      <c r="A10" s="16" t="s">
        <v>158</v>
      </c>
    </row>
    <row r="11" customFormat="false" ht="15" hidden="false" customHeight="false" outlineLevel="0" collapsed="false">
      <c r="A11" s="16" t="s">
        <v>159</v>
      </c>
    </row>
    <row r="12" customFormat="false" ht="15" hidden="false" customHeight="false" outlineLevel="0" collapsed="false">
      <c r="A12" s="16" t="s">
        <v>160</v>
      </c>
    </row>
    <row r="13" customFormat="false" ht="15" hidden="false" customHeight="false" outlineLevel="0" collapsed="false">
      <c r="A13" s="16" t="s">
        <v>161</v>
      </c>
    </row>
    <row r="14" customFormat="false" ht="15" hidden="false" customHeight="false" outlineLevel="0" collapsed="false">
      <c r="A14" s="16" t="s">
        <v>162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100"/>
  </cols>
  <sheetData>
    <row r="1" customFormat="false" ht="17.35" hidden="false" customHeight="false" outlineLevel="0" collapsed="false">
      <c r="A1" s="1" t="s">
        <v>163</v>
      </c>
    </row>
    <row r="3" customFormat="false" ht="15" hidden="false" customHeight="false" outlineLevel="0" collapsed="false">
      <c r="A3" s="17" t="s">
        <v>164</v>
      </c>
    </row>
    <row r="4" customFormat="false" ht="15" hidden="false" customHeight="false" outlineLevel="0" collapsed="false">
      <c r="A4" s="18"/>
      <c r="B4" s="16" t="s">
        <v>12</v>
      </c>
    </row>
    <row r="5" customFormat="false" ht="15" hidden="false" customHeight="false" outlineLevel="0" collapsed="false">
      <c r="A5" s="19"/>
      <c r="B5" s="16" t="s">
        <v>31</v>
      </c>
    </row>
    <row r="6" customFormat="false" ht="15" hidden="false" customHeight="false" outlineLevel="0" collapsed="false">
      <c r="A6" s="20"/>
      <c r="B6" s="16" t="s">
        <v>45</v>
      </c>
    </row>
    <row r="7" customFormat="false" ht="15" hidden="false" customHeight="false" outlineLevel="0" collapsed="false">
      <c r="A7" s="21"/>
      <c r="B7" s="16" t="s">
        <v>56</v>
      </c>
    </row>
    <row r="8" customFormat="false" ht="15" hidden="false" customHeight="false" outlineLevel="0" collapsed="false">
      <c r="A8" s="22"/>
      <c r="B8" s="16" t="s">
        <v>81</v>
      </c>
    </row>
    <row r="10" customFormat="false" ht="15" hidden="false" customHeight="false" outlineLevel="0" collapsed="false">
      <c r="A10" s="23"/>
      <c r="B10" s="23"/>
    </row>
    <row r="11" customFormat="false" ht="15" hidden="false" customHeight="false" outlineLevel="0" collapsed="false">
      <c r="A11" s="24" t="s">
        <v>165</v>
      </c>
      <c r="B11" s="24"/>
    </row>
    <row r="12" customFormat="false" ht="15" hidden="false" customHeight="false" outlineLevel="0" collapsed="false">
      <c r="A12" s="23" t="s">
        <v>166</v>
      </c>
      <c r="B12" s="23"/>
    </row>
    <row r="13" customFormat="false" ht="15" hidden="false" customHeight="false" outlineLevel="0" collapsed="false">
      <c r="A13" s="23" t="s">
        <v>167</v>
      </c>
      <c r="B13" s="23"/>
    </row>
    <row r="14" customFormat="false" ht="15" hidden="false" customHeight="false" outlineLevel="0" collapsed="false">
      <c r="A14" s="23" t="s">
        <v>168</v>
      </c>
      <c r="B14" s="23"/>
    </row>
    <row r="15" customFormat="false" ht="15" hidden="false" customHeight="false" outlineLevel="0" collapsed="false">
      <c r="A15" s="23" t="s">
        <v>169</v>
      </c>
      <c r="B15" s="23"/>
    </row>
    <row r="16" customFormat="false" ht="15" hidden="false" customHeight="false" outlineLevel="0" collapsed="false">
      <c r="A16" s="23"/>
      <c r="B16" s="23"/>
    </row>
    <row r="17" customFormat="false" ht="15" hidden="false" customHeight="false" outlineLevel="0" collapsed="false">
      <c r="A17" s="24" t="s">
        <v>170</v>
      </c>
      <c r="B17" s="24"/>
    </row>
    <row r="18" customFormat="false" ht="15" hidden="false" customHeight="false" outlineLevel="0" collapsed="false">
      <c r="A18" s="23" t="s">
        <v>171</v>
      </c>
      <c r="B18" s="23"/>
    </row>
    <row r="19" customFormat="false" ht="15" hidden="false" customHeight="false" outlineLevel="0" collapsed="false">
      <c r="A19" s="23" t="s">
        <v>172</v>
      </c>
      <c r="B19" s="23"/>
    </row>
    <row r="20" customFormat="false" ht="15" hidden="false" customHeight="false" outlineLevel="0" collapsed="false">
      <c r="A20" s="23" t="s">
        <v>173</v>
      </c>
      <c r="B20" s="23"/>
    </row>
    <row r="21" customFormat="false" ht="15" hidden="false" customHeight="false" outlineLevel="0" collapsed="false">
      <c r="A21" s="23" t="s">
        <v>174</v>
      </c>
      <c r="B21" s="23"/>
    </row>
    <row r="22" customFormat="false" ht="15" hidden="false" customHeight="false" outlineLevel="0" collapsed="false">
      <c r="A22" s="23" t="s">
        <v>175</v>
      </c>
      <c r="B22" s="23"/>
    </row>
    <row r="23" customFormat="false" ht="15" hidden="false" customHeight="false" outlineLevel="0" collapsed="false">
      <c r="A23" s="23" t="s">
        <v>176</v>
      </c>
      <c r="B23" s="23"/>
    </row>
    <row r="24" customFormat="false" ht="15" hidden="false" customHeight="false" outlineLevel="0" collapsed="false">
      <c r="A24" s="23"/>
      <c r="B24" s="23"/>
    </row>
    <row r="25" customFormat="false" ht="15" hidden="false" customHeight="false" outlineLevel="0" collapsed="false">
      <c r="A25" s="24" t="s">
        <v>177</v>
      </c>
      <c r="B25" s="24"/>
    </row>
    <row r="26" customFormat="false" ht="15" hidden="false" customHeight="false" outlineLevel="0" collapsed="false">
      <c r="A26" s="23" t="s">
        <v>178</v>
      </c>
      <c r="B26" s="23"/>
    </row>
    <row r="27" customFormat="false" ht="15" hidden="false" customHeight="false" outlineLevel="0" collapsed="false">
      <c r="A27" s="23" t="s">
        <v>179</v>
      </c>
      <c r="B27" s="23"/>
    </row>
    <row r="28" customFormat="false" ht="15" hidden="false" customHeight="false" outlineLevel="0" collapsed="false">
      <c r="A28" s="23" t="s">
        <v>180</v>
      </c>
      <c r="B28" s="23"/>
    </row>
    <row r="29" customFormat="false" ht="15" hidden="false" customHeight="false" outlineLevel="0" collapsed="false">
      <c r="A29" s="23" t="s">
        <v>181</v>
      </c>
      <c r="B29" s="23"/>
    </row>
    <row r="30" customFormat="false" ht="15" hidden="false" customHeight="false" outlineLevel="0" collapsed="false">
      <c r="A30" s="23" t="s">
        <v>182</v>
      </c>
      <c r="B30" s="23"/>
    </row>
    <row r="31" customFormat="false" ht="15" hidden="false" customHeight="false" outlineLevel="0" collapsed="false">
      <c r="A31" s="23" t="s">
        <v>183</v>
      </c>
      <c r="B31" s="23"/>
    </row>
  </sheetData>
  <mergeCells count="22">
    <mergeCell ref="A10:B10"/>
    <mergeCell ref="A11:B11"/>
    <mergeCell ref="A12:B12"/>
    <mergeCell ref="A13:B13"/>
    <mergeCell ref="A14:B14"/>
    <mergeCell ref="A15:B15"/>
    <mergeCell ref="A16:B16"/>
    <mergeCell ref="A17:B17"/>
    <mergeCell ref="A18:B18"/>
    <mergeCell ref="A19:B19"/>
    <mergeCell ref="A20:B20"/>
    <mergeCell ref="A21:B21"/>
    <mergeCell ref="A22:B22"/>
    <mergeCell ref="A23:B23"/>
    <mergeCell ref="A24:B24"/>
    <mergeCell ref="A25:B25"/>
    <mergeCell ref="A26:B26"/>
    <mergeCell ref="A27:B27"/>
    <mergeCell ref="A28:B28"/>
    <mergeCell ref="A29:B29"/>
    <mergeCell ref="A30:B30"/>
    <mergeCell ref="A31:B3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30"/>
    <col collapsed="false" customWidth="true" hidden="false" outlineLevel="0" max="3" min="3" style="0" width="34"/>
    <col collapsed="false" customWidth="true" hidden="false" outlineLevel="0" max="4" min="4" style="0" width="20"/>
    <col collapsed="false" customWidth="true" hidden="false" outlineLevel="0" max="5" min="5" style="0" width="46"/>
    <col collapsed="false" customWidth="true" hidden="false" outlineLevel="0" max="6" min="6" style="0" width="30"/>
    <col collapsed="false" customWidth="true" hidden="false" outlineLevel="0" max="7" min="7" style="0" width="26"/>
    <col collapsed="false" customWidth="true" hidden="false" outlineLevel="0" max="8" min="8" style="0" width="13"/>
    <col collapsed="false" customWidth="true" hidden="false" outlineLevel="0" max="9" min="9" style="0" width="52"/>
  </cols>
  <sheetData>
    <row r="1" customFormat="false" ht="17.35" hidden="false" customHeight="false" outlineLevel="0" collapsed="false">
      <c r="A1" s="1" t="s">
        <v>184</v>
      </c>
    </row>
    <row r="2" customFormat="false" ht="15" hidden="false" customHeight="false" outlineLevel="0" collapsed="false">
      <c r="A2" s="2" t="s">
        <v>185</v>
      </c>
    </row>
    <row r="3" customFormat="false" ht="15" hidden="false" customHeight="false" outlineLevel="0" collapsed="false">
      <c r="A3" s="2" t="s">
        <v>186</v>
      </c>
    </row>
    <row r="5" customFormat="false" ht="42" hidden="false" customHeight="true" outlineLevel="0" collapsed="false">
      <c r="A5" s="3" t="s">
        <v>187</v>
      </c>
      <c r="B5" s="3" t="s">
        <v>188</v>
      </c>
      <c r="C5" s="3" t="s">
        <v>189</v>
      </c>
      <c r="D5" s="3" t="s">
        <v>190</v>
      </c>
      <c r="E5" s="3" t="s">
        <v>191</v>
      </c>
      <c r="F5" s="3" t="s">
        <v>192</v>
      </c>
      <c r="G5" s="3" t="s">
        <v>193</v>
      </c>
      <c r="H5" s="3" t="s">
        <v>194</v>
      </c>
      <c r="I5" s="3" t="s">
        <v>195</v>
      </c>
    </row>
    <row r="6" customFormat="false" ht="23.85" hidden="false" customHeight="false" outlineLevel="0" collapsed="false">
      <c r="A6" s="4" t="s">
        <v>196</v>
      </c>
      <c r="B6" s="5" t="s">
        <v>13</v>
      </c>
      <c r="C6" s="6" t="s">
        <v>197</v>
      </c>
      <c r="D6" s="7" t="s">
        <v>15</v>
      </c>
      <c r="E6" s="6" t="s">
        <v>16</v>
      </c>
      <c r="F6" s="6"/>
      <c r="G6" s="6"/>
      <c r="H6" s="8" t="n">
        <v>1</v>
      </c>
      <c r="I6" s="6" t="s">
        <v>198</v>
      </c>
    </row>
    <row r="7" customFormat="false" ht="23.85" hidden="false" customHeight="false" outlineLevel="0" collapsed="false">
      <c r="A7" s="4" t="s">
        <v>196</v>
      </c>
      <c r="B7" s="5" t="s">
        <v>18</v>
      </c>
      <c r="C7" s="6" t="s">
        <v>199</v>
      </c>
      <c r="D7" s="7" t="s">
        <v>20</v>
      </c>
      <c r="E7" s="6" t="s">
        <v>21</v>
      </c>
      <c r="F7" s="6"/>
      <c r="G7" s="6"/>
      <c r="H7" s="8" t="n">
        <v>18</v>
      </c>
      <c r="I7" s="6" t="s">
        <v>200</v>
      </c>
    </row>
    <row r="8" customFormat="false" ht="15" hidden="false" customHeight="false" outlineLevel="0" collapsed="false">
      <c r="A8" s="4" t="s">
        <v>196</v>
      </c>
      <c r="B8" s="5" t="s">
        <v>23</v>
      </c>
      <c r="C8" s="6" t="s">
        <v>201</v>
      </c>
      <c r="D8" s="7" t="s">
        <v>15</v>
      </c>
      <c r="E8" s="6" t="s">
        <v>25</v>
      </c>
      <c r="F8" s="6"/>
      <c r="G8" s="6"/>
      <c r="H8" s="8" t="n">
        <v>1</v>
      </c>
      <c r="I8" s="6" t="s">
        <v>202</v>
      </c>
    </row>
    <row r="9" customFormat="false" ht="23.85" hidden="false" customHeight="false" outlineLevel="0" collapsed="false">
      <c r="A9" s="4" t="s">
        <v>196</v>
      </c>
      <c r="B9" s="5" t="s">
        <v>27</v>
      </c>
      <c r="C9" s="6" t="s">
        <v>203</v>
      </c>
      <c r="D9" s="7" t="s">
        <v>15</v>
      </c>
      <c r="E9" s="6" t="s">
        <v>29</v>
      </c>
      <c r="F9" s="6"/>
      <c r="G9" s="6"/>
      <c r="H9" s="8" t="n">
        <v>1</v>
      </c>
      <c r="I9" s="6" t="s">
        <v>204</v>
      </c>
    </row>
    <row r="10" customFormat="false" ht="23.85" hidden="false" customHeight="false" outlineLevel="0" collapsed="false">
      <c r="A10" s="9" t="s">
        <v>205</v>
      </c>
      <c r="B10" s="5" t="s">
        <v>206</v>
      </c>
      <c r="C10" s="6" t="s">
        <v>207</v>
      </c>
      <c r="D10" s="7" t="s">
        <v>20</v>
      </c>
      <c r="E10" s="6" t="s">
        <v>34</v>
      </c>
      <c r="F10" s="6"/>
      <c r="G10" s="6"/>
      <c r="H10" s="8" t="n">
        <v>19</v>
      </c>
      <c r="I10" s="6" t="s">
        <v>208</v>
      </c>
    </row>
    <row r="11" customFormat="false" ht="15" hidden="false" customHeight="false" outlineLevel="0" collapsed="false">
      <c r="A11" s="9" t="s">
        <v>205</v>
      </c>
      <c r="B11" s="5" t="s">
        <v>209</v>
      </c>
      <c r="C11" s="6" t="s">
        <v>210</v>
      </c>
      <c r="D11" s="7" t="s">
        <v>15</v>
      </c>
      <c r="E11" s="6" t="s">
        <v>38</v>
      </c>
      <c r="F11" s="6"/>
      <c r="G11" s="6"/>
      <c r="H11" s="8" t="n">
        <v>4</v>
      </c>
      <c r="I11" s="6" t="s">
        <v>211</v>
      </c>
    </row>
    <row r="12" customFormat="false" ht="15" hidden="false" customHeight="false" outlineLevel="0" collapsed="false">
      <c r="A12" s="9" t="s">
        <v>205</v>
      </c>
      <c r="B12" s="5" t="s">
        <v>212</v>
      </c>
      <c r="C12" s="6" t="s">
        <v>213</v>
      </c>
      <c r="D12" s="7" t="s">
        <v>214</v>
      </c>
      <c r="E12" s="6" t="s">
        <v>43</v>
      </c>
      <c r="F12" s="6"/>
      <c r="G12" s="6"/>
      <c r="H12" s="8" t="n">
        <v>2</v>
      </c>
      <c r="I12" s="6" t="s">
        <v>215</v>
      </c>
    </row>
    <row r="13" customFormat="false" ht="23.85" hidden="false" customHeight="false" outlineLevel="0" collapsed="false">
      <c r="A13" s="10" t="s">
        <v>216</v>
      </c>
      <c r="B13" s="5" t="s">
        <v>217</v>
      </c>
      <c r="C13" s="6" t="s">
        <v>218</v>
      </c>
      <c r="D13" s="7" t="s">
        <v>48</v>
      </c>
      <c r="E13" s="6"/>
      <c r="F13" s="6"/>
      <c r="G13" s="6" t="s">
        <v>49</v>
      </c>
      <c r="H13" s="8" t="n">
        <v>1</v>
      </c>
      <c r="I13" s="6" t="s">
        <v>219</v>
      </c>
    </row>
    <row r="14" customFormat="false" ht="23.85" hidden="false" customHeight="false" outlineLevel="0" collapsed="false">
      <c r="A14" s="10" t="s">
        <v>216</v>
      </c>
      <c r="B14" s="5" t="s">
        <v>220</v>
      </c>
      <c r="C14" s="6" t="s">
        <v>221</v>
      </c>
      <c r="D14" s="7" t="s">
        <v>222</v>
      </c>
      <c r="E14" s="6" t="s">
        <v>54</v>
      </c>
      <c r="F14" s="6"/>
      <c r="G14" s="6"/>
      <c r="H14" s="8" t="n">
        <v>23</v>
      </c>
      <c r="I14" s="6" t="s">
        <v>223</v>
      </c>
    </row>
    <row r="15" customFormat="false" ht="23.85" hidden="false" customHeight="false" outlineLevel="0" collapsed="false">
      <c r="A15" s="11" t="s">
        <v>224</v>
      </c>
      <c r="B15" s="5" t="s">
        <v>57</v>
      </c>
      <c r="C15" s="6" t="s">
        <v>225</v>
      </c>
      <c r="D15" s="7" t="s">
        <v>226</v>
      </c>
      <c r="E15" s="6" t="s">
        <v>227</v>
      </c>
      <c r="F15" s="6" t="s">
        <v>61</v>
      </c>
      <c r="G15" s="6"/>
      <c r="H15" s="8" t="n">
        <v>2</v>
      </c>
      <c r="I15" s="6" t="s">
        <v>228</v>
      </c>
    </row>
    <row r="16" customFormat="false" ht="23.85" hidden="false" customHeight="false" outlineLevel="0" collapsed="false">
      <c r="A16" s="11" t="s">
        <v>224</v>
      </c>
      <c r="B16" s="5" t="s">
        <v>63</v>
      </c>
      <c r="C16" s="6" t="s">
        <v>229</v>
      </c>
      <c r="D16" s="7" t="s">
        <v>226</v>
      </c>
      <c r="E16" s="6" t="s">
        <v>65</v>
      </c>
      <c r="F16" s="6" t="s">
        <v>66</v>
      </c>
      <c r="G16" s="6"/>
      <c r="H16" s="8" t="n">
        <v>23</v>
      </c>
      <c r="I16" s="6" t="s">
        <v>230</v>
      </c>
    </row>
    <row r="17" customFormat="false" ht="46.25" hidden="false" customHeight="false" outlineLevel="0" collapsed="false">
      <c r="A17" s="11" t="s">
        <v>224</v>
      </c>
      <c r="B17" s="5" t="s">
        <v>68</v>
      </c>
      <c r="C17" s="6" t="s">
        <v>229</v>
      </c>
      <c r="D17" s="7" t="s">
        <v>226</v>
      </c>
      <c r="E17" s="6" t="s">
        <v>69</v>
      </c>
      <c r="F17" s="6" t="s">
        <v>70</v>
      </c>
      <c r="G17" s="6"/>
      <c r="H17" s="8" t="n">
        <v>54</v>
      </c>
      <c r="I17" s="6"/>
    </row>
    <row r="18" customFormat="false" ht="23.85" hidden="false" customHeight="false" outlineLevel="0" collapsed="false">
      <c r="A18" s="11" t="s">
        <v>224</v>
      </c>
      <c r="B18" s="5" t="s">
        <v>71</v>
      </c>
      <c r="C18" s="6" t="s">
        <v>231</v>
      </c>
      <c r="D18" s="7" t="s">
        <v>226</v>
      </c>
      <c r="E18" s="6" t="s">
        <v>73</v>
      </c>
      <c r="F18" s="6"/>
      <c r="G18" s="6"/>
      <c r="H18" s="8" t="n">
        <v>24</v>
      </c>
      <c r="I18" s="6" t="s">
        <v>232</v>
      </c>
    </row>
    <row r="19" customFormat="false" ht="135.8" hidden="false" customHeight="false" outlineLevel="0" collapsed="false">
      <c r="A19" s="11" t="s">
        <v>224</v>
      </c>
      <c r="B19" s="5" t="s">
        <v>75</v>
      </c>
      <c r="C19" s="6" t="s">
        <v>233</v>
      </c>
      <c r="D19" s="7" t="s">
        <v>226</v>
      </c>
      <c r="E19" s="6" t="s">
        <v>234</v>
      </c>
      <c r="F19" s="6" t="s">
        <v>78</v>
      </c>
      <c r="G19" s="6" t="s">
        <v>79</v>
      </c>
      <c r="H19" s="8" t="n">
        <v>159</v>
      </c>
      <c r="I19" s="6" t="s">
        <v>235</v>
      </c>
    </row>
    <row r="20" customFormat="false" ht="23.85" hidden="false" customHeight="false" outlineLevel="0" collapsed="false">
      <c r="A20" s="12" t="s">
        <v>236</v>
      </c>
      <c r="B20" s="5" t="s">
        <v>82</v>
      </c>
      <c r="C20" s="6" t="s">
        <v>237</v>
      </c>
      <c r="D20" s="7" t="s">
        <v>226</v>
      </c>
      <c r="E20" s="6" t="s">
        <v>84</v>
      </c>
      <c r="F20" s="6" t="s">
        <v>85</v>
      </c>
      <c r="G20" s="6"/>
      <c r="H20" s="8" t="n">
        <v>18</v>
      </c>
      <c r="I20" s="6"/>
    </row>
    <row r="21" customFormat="false" ht="15" hidden="false" customHeight="false" outlineLevel="0" collapsed="false">
      <c r="A21" s="12" t="s">
        <v>236</v>
      </c>
      <c r="B21" s="5" t="s">
        <v>86</v>
      </c>
      <c r="C21" s="6" t="s">
        <v>238</v>
      </c>
      <c r="D21" s="7" t="s">
        <v>226</v>
      </c>
      <c r="E21" s="6" t="s">
        <v>88</v>
      </c>
      <c r="F21" s="6"/>
      <c r="G21" s="6"/>
      <c r="H21" s="8" t="n">
        <v>2</v>
      </c>
      <c r="I21" s="6" t="s">
        <v>239</v>
      </c>
    </row>
    <row r="22" customFormat="false" ht="15" hidden="false" customHeight="false" outlineLevel="0" collapsed="false">
      <c r="A22" s="12" t="s">
        <v>236</v>
      </c>
      <c r="B22" s="5" t="s">
        <v>90</v>
      </c>
      <c r="C22" s="6" t="s">
        <v>240</v>
      </c>
      <c r="D22" s="7" t="s">
        <v>226</v>
      </c>
      <c r="E22" s="6" t="s">
        <v>92</v>
      </c>
      <c r="F22" s="6" t="s">
        <v>93</v>
      </c>
      <c r="G22" s="6"/>
      <c r="H22" s="8" t="n">
        <v>10</v>
      </c>
      <c r="I22" s="6"/>
    </row>
    <row r="23" customFormat="false" ht="57.45" hidden="false" customHeight="false" outlineLevel="0" collapsed="false">
      <c r="A23" s="12" t="s">
        <v>236</v>
      </c>
      <c r="B23" s="5" t="s">
        <v>94</v>
      </c>
      <c r="C23" s="6" t="s">
        <v>241</v>
      </c>
      <c r="D23" s="7" t="s">
        <v>226</v>
      </c>
      <c r="E23" s="6" t="s">
        <v>96</v>
      </c>
      <c r="F23" s="6" t="s">
        <v>97</v>
      </c>
      <c r="G23" s="6" t="s">
        <v>98</v>
      </c>
      <c r="H23" s="8" t="n">
        <v>70</v>
      </c>
      <c r="I23" s="6" t="s">
        <v>242</v>
      </c>
    </row>
    <row r="24" customFormat="false" ht="15" hidden="false" customHeight="false" outlineLevel="0" collapsed="false">
      <c r="A24" s="12" t="s">
        <v>236</v>
      </c>
      <c r="B24" s="5" t="s">
        <v>100</v>
      </c>
      <c r="C24" s="6" t="s">
        <v>243</v>
      </c>
      <c r="D24" s="7" t="s">
        <v>226</v>
      </c>
      <c r="E24" s="6" t="s">
        <v>102</v>
      </c>
      <c r="F24" s="6"/>
      <c r="G24" s="6"/>
      <c r="H24" s="8" t="n">
        <v>3</v>
      </c>
      <c r="I24" s="6"/>
    </row>
    <row r="25" customFormat="false" ht="23.85" hidden="false" customHeight="false" outlineLevel="0" collapsed="false">
      <c r="A25" s="12" t="s">
        <v>236</v>
      </c>
      <c r="B25" s="5" t="s">
        <v>103</v>
      </c>
      <c r="C25" s="6" t="s">
        <v>244</v>
      </c>
      <c r="D25" s="7" t="s">
        <v>226</v>
      </c>
      <c r="E25" s="6" t="s">
        <v>105</v>
      </c>
      <c r="F25" s="6" t="s">
        <v>25</v>
      </c>
      <c r="G25" s="6"/>
      <c r="H25" s="8" t="n">
        <v>25</v>
      </c>
      <c r="I25" s="6"/>
    </row>
    <row r="26" customFormat="false" ht="23.85" hidden="false" customHeight="false" outlineLevel="0" collapsed="false">
      <c r="A26" s="12" t="s">
        <v>236</v>
      </c>
      <c r="B26" s="5" t="s">
        <v>106</v>
      </c>
      <c r="C26" s="6" t="s">
        <v>243</v>
      </c>
      <c r="D26" s="7" t="s">
        <v>226</v>
      </c>
      <c r="E26" s="6" t="s">
        <v>107</v>
      </c>
      <c r="F26" s="6"/>
      <c r="G26" s="6"/>
      <c r="H26" s="8" t="n">
        <v>19</v>
      </c>
      <c r="I26" s="6" t="s">
        <v>245</v>
      </c>
    </row>
    <row r="27" customFormat="false" ht="15" hidden="false" customHeight="false" outlineLevel="0" collapsed="false">
      <c r="A27" s="12" t="s">
        <v>236</v>
      </c>
      <c r="B27" s="5" t="s">
        <v>109</v>
      </c>
      <c r="C27" s="6" t="s">
        <v>246</v>
      </c>
      <c r="D27" s="7" t="s">
        <v>226</v>
      </c>
      <c r="E27" s="6" t="s">
        <v>16</v>
      </c>
      <c r="F27" s="6"/>
      <c r="G27" s="6"/>
      <c r="H27" s="8" t="n">
        <v>1</v>
      </c>
      <c r="I27" s="6"/>
    </row>
    <row r="28" customFormat="false" ht="15" hidden="false" customHeight="false" outlineLevel="0" collapsed="false">
      <c r="A28" s="12" t="s">
        <v>236</v>
      </c>
      <c r="B28" s="5" t="s">
        <v>111</v>
      </c>
      <c r="C28" s="6" t="s">
        <v>238</v>
      </c>
      <c r="D28" s="7" t="s">
        <v>226</v>
      </c>
      <c r="E28" s="6" t="s">
        <v>112</v>
      </c>
      <c r="F28" s="6"/>
      <c r="G28" s="6"/>
      <c r="H28" s="8" t="n">
        <v>2</v>
      </c>
      <c r="I28" s="6" t="s">
        <v>247</v>
      </c>
    </row>
    <row r="29" customFormat="false" ht="23.85" hidden="false" customHeight="false" outlineLevel="0" collapsed="false">
      <c r="A29" s="12" t="s">
        <v>236</v>
      </c>
      <c r="B29" s="5" t="s">
        <v>114</v>
      </c>
      <c r="C29" s="6" t="s">
        <v>248</v>
      </c>
      <c r="D29" s="7" t="s">
        <v>226</v>
      </c>
      <c r="E29" s="6" t="s">
        <v>116</v>
      </c>
      <c r="F29" s="6"/>
      <c r="G29" s="6"/>
      <c r="H29" s="8" t="n">
        <v>1</v>
      </c>
      <c r="I29" s="6" t="s">
        <v>249</v>
      </c>
    </row>
    <row r="30" customFormat="false" ht="15" hidden="false" customHeight="false" outlineLevel="0" collapsed="false">
      <c r="A30" s="12" t="s">
        <v>236</v>
      </c>
      <c r="B30" s="5" t="s">
        <v>118</v>
      </c>
      <c r="C30" s="6" t="s">
        <v>250</v>
      </c>
      <c r="D30" s="7" t="s">
        <v>226</v>
      </c>
      <c r="E30" s="6" t="s">
        <v>120</v>
      </c>
      <c r="F30" s="6"/>
      <c r="G30" s="6"/>
      <c r="H30" s="8" t="n">
        <v>5</v>
      </c>
      <c r="I30" s="6"/>
    </row>
    <row r="31" customFormat="false" ht="15" hidden="false" customHeight="false" outlineLevel="0" collapsed="false">
      <c r="A31" s="12" t="s">
        <v>236</v>
      </c>
      <c r="B31" s="5" t="s">
        <v>121</v>
      </c>
      <c r="C31" s="6" t="s">
        <v>243</v>
      </c>
      <c r="D31" s="7" t="s">
        <v>226</v>
      </c>
      <c r="E31" s="6" t="s">
        <v>122</v>
      </c>
      <c r="F31" s="6"/>
      <c r="G31" s="6"/>
      <c r="H31" s="8" t="n">
        <v>2</v>
      </c>
      <c r="I31" s="6"/>
    </row>
    <row r="32" customFormat="false" ht="15" hidden="false" customHeight="false" outlineLevel="0" collapsed="false">
      <c r="A32" s="12" t="s">
        <v>236</v>
      </c>
      <c r="B32" s="5" t="s">
        <v>251</v>
      </c>
      <c r="C32" s="6" t="s">
        <v>252</v>
      </c>
      <c r="D32" s="7" t="s">
        <v>226</v>
      </c>
      <c r="E32" s="6" t="s">
        <v>125</v>
      </c>
      <c r="F32" s="6"/>
      <c r="G32" s="6" t="s">
        <v>49</v>
      </c>
      <c r="H32" s="8" t="n">
        <v>12</v>
      </c>
      <c r="I32" s="6" t="s">
        <v>253</v>
      </c>
    </row>
    <row r="33" customFormat="false" ht="15" hidden="false" customHeight="false" outlineLevel="0" collapsed="false">
      <c r="A33" s="12" t="s">
        <v>236</v>
      </c>
      <c r="B33" s="5" t="s">
        <v>254</v>
      </c>
      <c r="C33" s="6" t="s">
        <v>255</v>
      </c>
      <c r="D33" s="7" t="s">
        <v>226</v>
      </c>
      <c r="E33" s="6" t="s">
        <v>129</v>
      </c>
      <c r="F33" s="6"/>
      <c r="G33" s="6"/>
      <c r="H33" s="8" t="n">
        <v>11</v>
      </c>
      <c r="I33" s="6" t="s">
        <v>256</v>
      </c>
    </row>
    <row r="34" customFormat="false" ht="15" hidden="false" customHeight="false" outlineLevel="0" collapsed="false">
      <c r="B34" s="13" t="s">
        <v>257</v>
      </c>
      <c r="H34" s="14" t="n">
        <f aca="false">SUM(H6:H33)</f>
        <v>513</v>
      </c>
    </row>
  </sheetData>
  <autoFilter ref="A5:I3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4"/>
    <col collapsed="false" customWidth="true" hidden="false" outlineLevel="0" max="3" min="3" style="0" width="52"/>
    <col collapsed="false" customWidth="true" hidden="false" outlineLevel="0" max="4" min="4" style="0" width="8"/>
    <col collapsed="false" customWidth="true" hidden="false" outlineLevel="0" max="5" min="5" style="0" width="13"/>
    <col collapsed="false" customWidth="true" hidden="false" outlineLevel="0" max="6" min="6" style="0" width="28"/>
    <col collapsed="false" customWidth="true" hidden="false" outlineLevel="0" max="7" min="7" style="0" width="20"/>
    <col collapsed="false" customWidth="true" hidden="false" outlineLevel="0" max="8" min="8" style="0" width="40"/>
    <col collapsed="false" customWidth="true" hidden="false" outlineLevel="0" max="10" min="9" style="0" width="22"/>
  </cols>
  <sheetData>
    <row r="1" customFormat="false" ht="17.35" hidden="false" customHeight="false" outlineLevel="0" collapsed="false">
      <c r="A1" s="1" t="s">
        <v>258</v>
      </c>
    </row>
    <row r="3" customFormat="false" ht="43.5" hidden="false" customHeight="true" outlineLevel="0" collapsed="false">
      <c r="A3" s="3" t="s">
        <v>133</v>
      </c>
      <c r="B3" s="3" t="s">
        <v>259</v>
      </c>
      <c r="C3" s="3" t="s">
        <v>260</v>
      </c>
      <c r="D3" s="3" t="s">
        <v>261</v>
      </c>
      <c r="E3" s="3" t="s">
        <v>262</v>
      </c>
      <c r="F3" s="3" t="s">
        <v>138</v>
      </c>
      <c r="G3" s="3" t="s">
        <v>263</v>
      </c>
      <c r="H3" s="3" t="s">
        <v>264</v>
      </c>
      <c r="I3" s="3" t="s">
        <v>265</v>
      </c>
      <c r="J3" s="3" t="s">
        <v>266</v>
      </c>
    </row>
    <row r="4" customFormat="false" ht="15" hidden="false" customHeight="false" outlineLevel="0" collapsed="false">
      <c r="A4" s="7" t="n">
        <v>1</v>
      </c>
      <c r="B4" s="7" t="s">
        <v>57</v>
      </c>
      <c r="C4" s="6" t="s">
        <v>267</v>
      </c>
      <c r="D4" s="7" t="n">
        <v>1902</v>
      </c>
      <c r="E4" s="7" t="s">
        <v>268</v>
      </c>
      <c r="F4" s="7" t="s">
        <v>269</v>
      </c>
      <c r="G4" s="6" t="s">
        <v>270</v>
      </c>
      <c r="H4" s="6" t="s">
        <v>271</v>
      </c>
      <c r="I4" s="7" t="n">
        <v>4</v>
      </c>
      <c r="J4" s="7" t="n">
        <v>467</v>
      </c>
    </row>
    <row r="5" customFormat="false" ht="23.85" hidden="false" customHeight="false" outlineLevel="0" collapsed="false">
      <c r="A5" s="7" t="n">
        <v>2</v>
      </c>
      <c r="B5" s="7" t="s">
        <v>75</v>
      </c>
      <c r="C5" s="6" t="s">
        <v>272</v>
      </c>
      <c r="D5" s="7" t="n">
        <v>1902</v>
      </c>
      <c r="E5" s="7" t="s">
        <v>273</v>
      </c>
      <c r="F5" s="7" t="s">
        <v>274</v>
      </c>
      <c r="G5" s="6" t="s">
        <v>275</v>
      </c>
      <c r="H5" s="6" t="s">
        <v>276</v>
      </c>
      <c r="I5" s="7" t="n">
        <v>0</v>
      </c>
      <c r="J5" s="7" t="n">
        <v>42</v>
      </c>
    </row>
    <row r="6" customFormat="false" ht="23.85" hidden="false" customHeight="false" outlineLevel="0" collapsed="false">
      <c r="A6" s="7" t="n">
        <v>3</v>
      </c>
      <c r="B6" s="7" t="s">
        <v>75</v>
      </c>
      <c r="C6" s="6" t="s">
        <v>277</v>
      </c>
      <c r="D6" s="7" t="n">
        <v>1900</v>
      </c>
      <c r="E6" s="7" t="s">
        <v>268</v>
      </c>
      <c r="F6" s="7" t="s">
        <v>278</v>
      </c>
      <c r="G6" s="6" t="s">
        <v>279</v>
      </c>
      <c r="H6" s="6" t="s">
        <v>280</v>
      </c>
      <c r="I6" s="7" t="n">
        <v>0</v>
      </c>
      <c r="J6" s="7" t="n">
        <v>4</v>
      </c>
    </row>
    <row r="9" customFormat="false" ht="15" hidden="false" customHeight="false" outlineLevel="0" collapsed="false">
      <c r="A9" s="15" t="s">
        <v>281</v>
      </c>
    </row>
    <row r="10" customFormat="false" ht="15" hidden="false" customHeight="false" outlineLevel="0" collapsed="false">
      <c r="A10" s="16" t="s">
        <v>282</v>
      </c>
    </row>
    <row r="11" customFormat="false" ht="15" hidden="false" customHeight="false" outlineLevel="0" collapsed="false">
      <c r="A11" s="16" t="s">
        <v>283</v>
      </c>
    </row>
    <row r="12" customFormat="false" ht="15" hidden="false" customHeight="false" outlineLevel="0" collapsed="false">
      <c r="A12" s="16" t="s">
        <v>284</v>
      </c>
    </row>
    <row r="13" customFormat="false" ht="15" hidden="false" customHeight="false" outlineLevel="0" collapsed="false">
      <c r="A13" s="16" t="s">
        <v>285</v>
      </c>
    </row>
    <row r="14" customFormat="false" ht="15" hidden="false" customHeight="false" outlineLevel="0" collapsed="false">
      <c r="A14" s="16" t="s">
        <v>286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100"/>
  </cols>
  <sheetData>
    <row r="1" customFormat="false" ht="17.35" hidden="false" customHeight="false" outlineLevel="0" collapsed="false">
      <c r="A1" s="1" t="s">
        <v>287</v>
      </c>
    </row>
    <row r="3" customFormat="false" ht="15" hidden="false" customHeight="false" outlineLevel="0" collapsed="false">
      <c r="A3" s="17" t="s">
        <v>288</v>
      </c>
    </row>
    <row r="4" customFormat="false" ht="15" hidden="false" customHeight="false" outlineLevel="0" collapsed="false">
      <c r="A4" s="18"/>
      <c r="B4" s="16" t="s">
        <v>196</v>
      </c>
    </row>
    <row r="5" customFormat="false" ht="15" hidden="false" customHeight="false" outlineLevel="0" collapsed="false">
      <c r="A5" s="19"/>
      <c r="B5" s="16" t="s">
        <v>205</v>
      </c>
    </row>
    <row r="6" customFormat="false" ht="15" hidden="false" customHeight="false" outlineLevel="0" collapsed="false">
      <c r="A6" s="20"/>
      <c r="B6" s="16" t="s">
        <v>216</v>
      </c>
    </row>
    <row r="7" customFormat="false" ht="15" hidden="false" customHeight="false" outlineLevel="0" collapsed="false">
      <c r="A7" s="21"/>
      <c r="B7" s="16" t="s">
        <v>224</v>
      </c>
    </row>
    <row r="8" customFormat="false" ht="15" hidden="false" customHeight="false" outlineLevel="0" collapsed="false">
      <c r="A8" s="22"/>
      <c r="B8" s="16" t="s">
        <v>236</v>
      </c>
    </row>
    <row r="10" customFormat="false" ht="15" hidden="false" customHeight="false" outlineLevel="0" collapsed="false">
      <c r="A10" s="23"/>
      <c r="B10" s="23"/>
    </row>
    <row r="11" customFormat="false" ht="15" hidden="false" customHeight="false" outlineLevel="0" collapsed="false">
      <c r="A11" s="24" t="s">
        <v>289</v>
      </c>
      <c r="B11" s="24"/>
    </row>
    <row r="12" customFormat="false" ht="15" hidden="false" customHeight="false" outlineLevel="0" collapsed="false">
      <c r="A12" s="23" t="s">
        <v>290</v>
      </c>
      <c r="B12" s="23"/>
    </row>
    <row r="13" customFormat="false" ht="15" hidden="false" customHeight="false" outlineLevel="0" collapsed="false">
      <c r="A13" s="23" t="s">
        <v>291</v>
      </c>
      <c r="B13" s="23"/>
    </row>
    <row r="14" customFormat="false" ht="15" hidden="false" customHeight="false" outlineLevel="0" collapsed="false">
      <c r="A14" s="23" t="s">
        <v>292</v>
      </c>
      <c r="B14" s="23"/>
    </row>
    <row r="15" customFormat="false" ht="15" hidden="false" customHeight="false" outlineLevel="0" collapsed="false">
      <c r="A15" s="23" t="s">
        <v>293</v>
      </c>
      <c r="B15" s="23"/>
    </row>
    <row r="16" customFormat="false" ht="15" hidden="false" customHeight="false" outlineLevel="0" collapsed="false">
      <c r="A16" s="23"/>
      <c r="B16" s="23"/>
    </row>
    <row r="17" customFormat="false" ht="15" hidden="false" customHeight="false" outlineLevel="0" collapsed="false">
      <c r="A17" s="24" t="s">
        <v>294</v>
      </c>
      <c r="B17" s="24"/>
    </row>
    <row r="18" customFormat="false" ht="15" hidden="false" customHeight="false" outlineLevel="0" collapsed="false">
      <c r="A18" s="23" t="s">
        <v>295</v>
      </c>
      <c r="B18" s="23"/>
    </row>
    <row r="19" customFormat="false" ht="15" hidden="false" customHeight="false" outlineLevel="0" collapsed="false">
      <c r="A19" s="23" t="s">
        <v>296</v>
      </c>
      <c r="B19" s="23"/>
    </row>
    <row r="20" customFormat="false" ht="15" hidden="false" customHeight="false" outlineLevel="0" collapsed="false">
      <c r="A20" s="23" t="s">
        <v>297</v>
      </c>
      <c r="B20" s="23"/>
    </row>
    <row r="21" customFormat="false" ht="15" hidden="false" customHeight="false" outlineLevel="0" collapsed="false">
      <c r="A21" s="23" t="s">
        <v>298</v>
      </c>
      <c r="B21" s="23"/>
    </row>
    <row r="22" customFormat="false" ht="15" hidden="false" customHeight="false" outlineLevel="0" collapsed="false">
      <c r="A22" s="23" t="s">
        <v>299</v>
      </c>
      <c r="B22" s="23"/>
    </row>
    <row r="23" customFormat="false" ht="15" hidden="false" customHeight="false" outlineLevel="0" collapsed="false">
      <c r="A23" s="23" t="s">
        <v>300</v>
      </c>
      <c r="B23" s="23"/>
    </row>
    <row r="24" customFormat="false" ht="15" hidden="false" customHeight="false" outlineLevel="0" collapsed="false">
      <c r="A24" s="23"/>
      <c r="B24" s="23"/>
    </row>
    <row r="25" customFormat="false" ht="15" hidden="false" customHeight="false" outlineLevel="0" collapsed="false">
      <c r="A25" s="24" t="s">
        <v>301</v>
      </c>
      <c r="B25" s="24"/>
    </row>
    <row r="26" customFormat="false" ht="15" hidden="false" customHeight="false" outlineLevel="0" collapsed="false">
      <c r="A26" s="23" t="s">
        <v>302</v>
      </c>
      <c r="B26" s="23"/>
    </row>
    <row r="27" customFormat="false" ht="15" hidden="false" customHeight="false" outlineLevel="0" collapsed="false">
      <c r="A27" s="23" t="s">
        <v>303</v>
      </c>
      <c r="B27" s="23"/>
    </row>
    <row r="28" customFormat="false" ht="15" hidden="false" customHeight="false" outlineLevel="0" collapsed="false">
      <c r="A28" s="23" t="s">
        <v>304</v>
      </c>
      <c r="B28" s="23"/>
    </row>
    <row r="29" customFormat="false" ht="15" hidden="false" customHeight="false" outlineLevel="0" collapsed="false">
      <c r="A29" s="23" t="s">
        <v>305</v>
      </c>
      <c r="B29" s="23"/>
    </row>
    <row r="30" customFormat="false" ht="15" hidden="false" customHeight="false" outlineLevel="0" collapsed="false">
      <c r="A30" s="23" t="s">
        <v>306</v>
      </c>
      <c r="B30" s="23"/>
    </row>
    <row r="31" customFormat="false" ht="15" hidden="false" customHeight="false" outlineLevel="0" collapsed="false">
      <c r="A31" s="23" t="s">
        <v>307</v>
      </c>
      <c r="B31" s="23"/>
    </row>
  </sheetData>
  <mergeCells count="22">
    <mergeCell ref="A10:B10"/>
    <mergeCell ref="A11:B11"/>
    <mergeCell ref="A12:B12"/>
    <mergeCell ref="A13:B13"/>
    <mergeCell ref="A14:B14"/>
    <mergeCell ref="A15:B15"/>
    <mergeCell ref="A16:B16"/>
    <mergeCell ref="A17:B17"/>
    <mergeCell ref="A18:B18"/>
    <mergeCell ref="A19:B19"/>
    <mergeCell ref="A20:B20"/>
    <mergeCell ref="A21:B21"/>
    <mergeCell ref="A22:B22"/>
    <mergeCell ref="A23:B23"/>
    <mergeCell ref="A24:B24"/>
    <mergeCell ref="A25:B25"/>
    <mergeCell ref="A26:B26"/>
    <mergeCell ref="A27:B27"/>
    <mergeCell ref="A28:B28"/>
    <mergeCell ref="A29:B29"/>
    <mergeCell ref="A30:B30"/>
    <mergeCell ref="A31:B3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2026-07-24T11:15:50Z</dcterms:created>
  <dc:creator>openpyxl</dc:creator>
  <dc:description/>
  <dc:language>en-US</dc:language>
  <cp:lastModifiedBy/>
  <dcterms:modified xsi:type="dcterms:W3CDTF">2026-07-24T11:15:50Z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